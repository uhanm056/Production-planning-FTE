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řevodník" sheetId="1" state="visible" r:id="rId1"/>
    <sheet xmlns:r="http://schemas.openxmlformats.org/officeDocument/2006/relationships" name="Normy" sheetId="2" state="visible" r:id="rId2"/>
    <sheet xmlns:r="http://schemas.openxmlformats.org/officeDocument/2006/relationships" name="Parametry" sheetId="3" state="visible" r:id="rId3"/>
    <sheet xmlns:r="http://schemas.openxmlformats.org/officeDocument/2006/relationships" name="Volume po lince" sheetId="4" state="visible" r:id="rId4"/>
    <sheet xmlns:r="http://schemas.openxmlformats.org/officeDocument/2006/relationships" name="Potřeba FTE" sheetId="5" state="visible" r:id="rId5"/>
    <sheet xmlns:r="http://schemas.openxmlformats.org/officeDocument/2006/relationships" name="Linky z rozpisů" sheetId="6" state="visible" r:id="rId6"/>
    <sheet xmlns:r="http://schemas.openxmlformats.org/officeDocument/2006/relationships" name="Kontrola jmen" sheetId="7" state="visible" r:id="rId7"/>
  </sheets>
  <definedNames>
    <definedName name="_xlnm._FilterDatabase" localSheetId="0" hidden="1">'Převodník'!$A$4:$Q$26</definedName>
    <definedName name="_xlnm._FilterDatabase" localSheetId="6" hidden="1">'Kontrola jmen'!$A$1:$H$315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  <font/>
    <font>
      <i val="1"/>
      <color rgb="00C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3" fillId="2" borderId="0" pivotButton="0" quotePrefix="0" xfId="0"/>
    <xf numFmtId="0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3" fillId="2" borderId="0" applyAlignment="1" pivotButton="0" quotePrefix="0" xfId="0">
      <alignment horizontal="center" vertical="center" wrapText="1"/>
    </xf>
    <xf numFmtId="9" fontId="0" fillId="4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5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2" customWidth="1" min="4" max="4"/>
    <col width="8" customWidth="1" min="5" max="5"/>
    <col width="13" customWidth="1" min="6" max="6"/>
    <col width="11" customWidth="1" min="7" max="7"/>
    <col width="20" customWidth="1" min="8" max="8"/>
    <col width="20" customWidth="1" min="9" max="9"/>
    <col width="8" customWidth="1" min="10" max="10"/>
    <col width="10" customWidth="1" min="11" max="11"/>
    <col width="8" customWidth="1" min="12" max="12"/>
    <col width="8" customWidth="1" min="13" max="13"/>
    <col width="20" customWidth="1" min="14" max="14"/>
    <col width="11" customWidth="1" min="15" max="15"/>
    <col width="12" customWidth="1" min="16" max="16"/>
    <col width="34" customWidth="1" min="17" max="17"/>
  </cols>
  <sheetData>
    <row r="1">
      <c r="A1" s="1" t="inlineStr">
        <is>
          <t>Převodník projekt × kategorie → linka</t>
        </is>
      </c>
    </row>
    <row r="2">
      <c r="A2" s="2" t="inlineStr">
        <is>
          <t>Linky doplněné Milanem. OP z rozpisů CW43 (list „Linky z rozpisů“). Sdílená linka = počet za celou linku, mezi projekty nesčítat.</t>
        </is>
      </c>
    </row>
    <row r="4" ht="45" customHeight="1">
      <c r="A4" s="3" t="inlineStr">
        <is>
          <t>Projekt</t>
        </is>
      </c>
      <c r="B4" s="3" t="inlineStr">
        <is>
          <t>Kategorie</t>
        </is>
      </c>
      <c r="C4" s="3" t="inlineStr">
        <is>
          <t>Strany</t>
        </is>
      </c>
      <c r="D4" s="3" t="inlineStr">
        <is>
          <t>Varianty</t>
        </is>
      </c>
      <c r="E4" s="3" t="inlineStr">
        <is>
          <t>Počet dílů</t>
        </is>
      </c>
      <c r="F4" s="3" t="inlineStr">
        <is>
          <t>Celkem ks CW43/26–CW52/27</t>
        </is>
      </c>
      <c r="G4" s="3" t="inlineStr">
        <is>
          <t>Ø ks/týden Q1 2027</t>
        </is>
      </c>
      <c r="H4" s="3" t="inlineStr">
        <is>
          <t>Linka / pracoviště</t>
        </is>
      </c>
      <c r="I4" s="3" t="inlineStr">
        <is>
          <t>Rozpis (skupina)</t>
        </is>
      </c>
      <c r="J4" s="3" t="inlineStr">
        <is>
          <t>OP ranní</t>
        </is>
      </c>
      <c r="K4" s="3" t="inlineStr">
        <is>
          <t>OP odpolední</t>
        </is>
      </c>
      <c r="L4" s="3" t="inlineStr">
        <is>
          <t>OP noční</t>
        </is>
      </c>
      <c r="M4" s="3" t="inlineStr">
        <is>
          <t>OP za den</t>
        </is>
      </c>
      <c r="N4" s="3" t="inlineStr">
        <is>
          <t>Linku sdílí s (projekt)</t>
        </is>
      </c>
      <c r="O4" s="3" t="inlineStr">
        <is>
          <t>Středisko</t>
        </is>
      </c>
      <c r="P4" s="3" t="inlineStr">
        <is>
          <t>Norma ks/směnu (8h)</t>
        </is>
      </c>
      <c r="Q4" s="3" t="inlineStr">
        <is>
          <t>Poznámka</t>
        </is>
      </c>
    </row>
    <row r="5">
      <c r="A5" s="4" t="inlineStr">
        <is>
          <t>AU38X</t>
        </is>
      </c>
      <c r="B5" s="4" t="inlineStr">
        <is>
          <t>SKIN</t>
        </is>
      </c>
      <c r="C5" s="4" t="inlineStr">
        <is>
          <t>LHD, RHD</t>
        </is>
      </c>
      <c r="D5" s="4" t="n"/>
      <c r="E5" s="4" t="n">
        <v>2</v>
      </c>
      <c r="F5" s="5" t="n">
        <v>192960</v>
      </c>
      <c r="G5" s="5" t="n">
        <v>5549</v>
      </c>
      <c r="H5" s="6" t="inlineStr">
        <is>
          <t>Slush</t>
        </is>
      </c>
      <c r="I5" s="4" t="inlineStr">
        <is>
          <t>Slush</t>
        </is>
      </c>
      <c r="J5" s="7">
        <f>IFERROR(INDEX('Linky z rozpisů'!B:B,MATCH($I5,'Linky z rozpisů'!A:A,0)),"")</f>
        <v/>
      </c>
      <c r="K5" s="7">
        <f>IFERROR(INDEX('Linky z rozpisů'!C:C,MATCH($I5,'Linky z rozpisů'!A:A,0)),"")</f>
        <v/>
      </c>
      <c r="L5" s="7">
        <f>IFERROR(INDEX('Linky z rozpisů'!D:D,MATCH($I5,'Linky z rozpisů'!A:A,0)),"")</f>
        <v/>
      </c>
      <c r="M5" s="7">
        <f>IFERROR(INDEX('Linky z rozpisů'!E:E,MATCH($I5,'Linky z rozpisů'!A:A,0)),"")</f>
        <v/>
      </c>
      <c r="N5" s="6" t="inlineStr"/>
      <c r="O5" s="8" t="n"/>
      <c r="P5" s="8" t="n"/>
      <c r="Q5" s="8" t="inlineStr"/>
    </row>
    <row r="6">
      <c r="A6" s="4" t="inlineStr">
        <is>
          <t>G463 M</t>
        </is>
      </c>
      <c r="B6" s="4" t="inlineStr">
        <is>
          <t>DP</t>
        </is>
      </c>
      <c r="C6" s="4" t="inlineStr">
        <is>
          <t>LHD, RHD</t>
        </is>
      </c>
      <c r="D6" s="4" t="inlineStr">
        <is>
          <t>BASIS, BASIS HEAT, SR1, SR1 HEAT, SR2, SR2 HEAT</t>
        </is>
      </c>
      <c r="E6" s="4" t="n">
        <v>405</v>
      </c>
      <c r="F6" s="5" t="n">
        <v>145763</v>
      </c>
      <c r="G6" s="5" t="n">
        <v>3545</v>
      </c>
      <c r="H6" s="6" t="inlineStr">
        <is>
          <t>G463 Assembly</t>
        </is>
      </c>
      <c r="I6" s="4" t="inlineStr">
        <is>
          <t>G463 Assembly</t>
        </is>
      </c>
      <c r="J6" s="7">
        <f>IFERROR(INDEX('Linky z rozpisů'!B:B,MATCH($I6,'Linky z rozpisů'!A:A,0)),"")</f>
        <v/>
      </c>
      <c r="K6" s="7">
        <f>IFERROR(INDEX('Linky z rozpisů'!C:C,MATCH($I6,'Linky z rozpisů'!A:A,0)),"")</f>
        <v/>
      </c>
      <c r="L6" s="7">
        <f>IFERROR(INDEX('Linky z rozpisů'!D:D,MATCH($I6,'Linky z rozpisů'!A:A,0)),"")</f>
        <v/>
      </c>
      <c r="M6" s="7">
        <f>IFERROR(INDEX('Linky z rozpisů'!E:E,MATCH($I6,'Linky z rozpisů'!A:A,0)),"")</f>
        <v/>
      </c>
      <c r="N6" s="6" t="inlineStr"/>
      <c r="O6" s="8" t="n"/>
      <c r="P6" s="8" t="n"/>
      <c r="Q6" s="8" t="inlineStr"/>
    </row>
    <row r="7">
      <c r="A7" s="4" t="inlineStr">
        <is>
          <t>G463 M</t>
        </is>
      </c>
      <c r="B7" s="4" t="inlineStr">
        <is>
          <t>HB</t>
        </is>
      </c>
      <c r="C7" s="4" t="n"/>
      <c r="D7" s="4" t="n"/>
      <c r="E7" s="4" t="n">
        <v>84</v>
      </c>
      <c r="F7" s="5" t="n">
        <v>50237</v>
      </c>
      <c r="G7" s="5" t="n">
        <v>884</v>
      </c>
      <c r="H7" s="6" t="inlineStr">
        <is>
          <t>G463 Assembly</t>
        </is>
      </c>
      <c r="I7" s="4" t="inlineStr">
        <is>
          <t>G463 Assembly</t>
        </is>
      </c>
      <c r="J7" s="7">
        <f>IFERROR(INDEX('Linky z rozpisů'!B:B,MATCH($I7,'Linky z rozpisů'!A:A,0)),"")</f>
        <v/>
      </c>
      <c r="K7" s="7">
        <f>IFERROR(INDEX('Linky z rozpisů'!C:C,MATCH($I7,'Linky z rozpisů'!A:A,0)),"")</f>
        <v/>
      </c>
      <c r="L7" s="7">
        <f>IFERROR(INDEX('Linky z rozpisů'!D:D,MATCH($I7,'Linky z rozpisů'!A:A,0)),"")</f>
        <v/>
      </c>
      <c r="M7" s="7">
        <f>IFERROR(INDEX('Linky z rozpisů'!E:E,MATCH($I7,'Linky z rozpisů'!A:A,0)),"")</f>
        <v/>
      </c>
      <c r="N7" s="6" t="inlineStr"/>
      <c r="O7" s="8" t="n"/>
      <c r="P7" s="8" t="n"/>
      <c r="Q7" s="8" t="inlineStr"/>
    </row>
    <row r="8">
      <c r="A8" s="4" t="inlineStr">
        <is>
          <t>OV51/52</t>
        </is>
      </c>
      <c r="B8" s="4" t="inlineStr">
        <is>
          <t>END CAP</t>
        </is>
      </c>
      <c r="C8" s="4" t="inlineStr">
        <is>
          <t>LHD, RHD</t>
        </is>
      </c>
      <c r="D8" s="4" t="n"/>
      <c r="E8" s="4" t="n">
        <v>2</v>
      </c>
      <c r="F8" s="5" t="n">
        <v>32256</v>
      </c>
      <c r="G8" s="5" t="n">
        <v>1499</v>
      </c>
      <c r="H8" s="6" t="inlineStr">
        <is>
          <t>IMM</t>
        </is>
      </c>
      <c r="I8" s="4" t="inlineStr">
        <is>
          <t>IMM</t>
        </is>
      </c>
      <c r="J8" s="7">
        <f>IFERROR(INDEX('Linky z rozpisů'!B:B,MATCH($I8,'Linky z rozpisů'!A:A,0)),"")</f>
        <v/>
      </c>
      <c r="K8" s="7">
        <f>IFERROR(INDEX('Linky z rozpisů'!C:C,MATCH($I8,'Linky z rozpisů'!A:A,0)),"")</f>
        <v/>
      </c>
      <c r="L8" s="7">
        <f>IFERROR(INDEX('Linky z rozpisů'!D:D,MATCH($I8,'Linky z rozpisů'!A:A,0)),"")</f>
        <v/>
      </c>
      <c r="M8" s="7">
        <f>IFERROR(INDEX('Linky z rozpisů'!E:E,MATCH($I8,'Linky z rozpisů'!A:A,0)),"")</f>
        <v/>
      </c>
      <c r="N8" s="6" t="inlineStr"/>
      <c r="O8" s="8" t="n"/>
      <c r="P8" s="8" t="n"/>
      <c r="Q8" s="8" t="inlineStr"/>
    </row>
    <row r="9">
      <c r="A9" s="4" t="inlineStr">
        <is>
          <t>OV51/52</t>
        </is>
      </c>
      <c r="B9" s="4" t="inlineStr">
        <is>
          <t>IP</t>
        </is>
      </c>
      <c r="C9" s="4" t="inlineStr">
        <is>
          <t>LHD, RHD</t>
        </is>
      </c>
      <c r="D9" s="4" t="inlineStr">
        <is>
          <t>HUD</t>
        </is>
      </c>
      <c r="E9" s="4" t="n">
        <v>4</v>
      </c>
      <c r="F9" s="5" t="n">
        <v>16024</v>
      </c>
      <c r="G9" s="5" t="n">
        <v>748</v>
      </c>
      <c r="H9" s="6" t="inlineStr">
        <is>
          <t>OV51 IP assembly</t>
        </is>
      </c>
      <c r="I9" s="4" t="inlineStr">
        <is>
          <t>OV51/64</t>
        </is>
      </c>
      <c r="J9" s="7">
        <f>IFERROR(INDEX('Linky z rozpisů'!B:B,MATCH($I9,'Linky z rozpisů'!A:A,0)),"")</f>
        <v/>
      </c>
      <c r="K9" s="7">
        <f>IFERROR(INDEX('Linky z rozpisů'!C:C,MATCH($I9,'Linky z rozpisů'!A:A,0)),"")</f>
        <v/>
      </c>
      <c r="L9" s="7">
        <f>IFERROR(INDEX('Linky z rozpisů'!D:D,MATCH($I9,'Linky z rozpisů'!A:A,0)),"")</f>
        <v/>
      </c>
      <c r="M9" s="7">
        <f>IFERROR(INDEX('Linky z rozpisů'!E:E,MATCH($I9,'Linky z rozpisů'!A:A,0)),"")</f>
        <v/>
      </c>
      <c r="N9" s="6" t="inlineStr">
        <is>
          <t>OV64</t>
        </is>
      </c>
      <c r="O9" s="8" t="n"/>
      <c r="P9" s="8" t="n"/>
      <c r="Q9" s="8" t="inlineStr"/>
    </row>
    <row r="10">
      <c r="A10" s="4" t="inlineStr">
        <is>
          <t>OV64</t>
        </is>
      </c>
      <c r="B10" s="4" t="inlineStr">
        <is>
          <t>IP</t>
        </is>
      </c>
      <c r="C10" s="4" t="inlineStr">
        <is>
          <t>LHD, RHD</t>
        </is>
      </c>
      <c r="D10" s="4" t="inlineStr">
        <is>
          <t>HUD</t>
        </is>
      </c>
      <c r="E10" s="4" t="n">
        <v>4</v>
      </c>
      <c r="F10" s="5" t="n">
        <v>26288</v>
      </c>
      <c r="G10" s="5" t="n">
        <v>1182</v>
      </c>
      <c r="H10" s="6" t="inlineStr">
        <is>
          <t>OV64 IP Assembly</t>
        </is>
      </c>
      <c r="I10" s="4" t="inlineStr">
        <is>
          <t>OV51/64</t>
        </is>
      </c>
      <c r="J10" s="7">
        <f>IFERROR(INDEX('Linky z rozpisů'!B:B,MATCH($I10,'Linky z rozpisů'!A:A,0)),"")</f>
        <v/>
      </c>
      <c r="K10" s="7">
        <f>IFERROR(INDEX('Linky z rozpisů'!C:C,MATCH($I10,'Linky z rozpisů'!A:A,0)),"")</f>
        <v/>
      </c>
      <c r="L10" s="7">
        <f>IFERROR(INDEX('Linky z rozpisů'!D:D,MATCH($I10,'Linky z rozpisů'!A:A,0)),"")</f>
        <v/>
      </c>
      <c r="M10" s="7">
        <f>IFERROR(INDEX('Linky z rozpisů'!E:E,MATCH($I10,'Linky z rozpisů'!A:A,0)),"")</f>
        <v/>
      </c>
      <c r="N10" s="6" t="inlineStr">
        <is>
          <t>OV51</t>
        </is>
      </c>
      <c r="O10" s="8" t="n"/>
      <c r="P10" s="8" t="n"/>
      <c r="Q10" s="8" t="inlineStr"/>
    </row>
    <row r="11">
      <c r="A11" s="4" t="inlineStr">
        <is>
          <t>OV64</t>
        </is>
      </c>
      <c r="B11" s="4" t="inlineStr">
        <is>
          <t>GVBX</t>
        </is>
      </c>
      <c r="C11" s="4" t="inlineStr">
        <is>
          <t>RHD</t>
        </is>
      </c>
      <c r="D11" s="4" t="n"/>
      <c r="E11" s="4" t="n">
        <v>1</v>
      </c>
      <c r="F11" s="5" t="n">
        <v>3030</v>
      </c>
      <c r="G11" s="5" t="n">
        <v>196</v>
      </c>
      <c r="H11" s="6" t="inlineStr">
        <is>
          <t>OV64 GB</t>
        </is>
      </c>
      <c r="I11" s="4" t="inlineStr">
        <is>
          <t>GB/DP</t>
        </is>
      </c>
      <c r="J11" s="7">
        <f>IFERROR(INDEX('Linky z rozpisů'!B:B,MATCH($I11,'Linky z rozpisů'!A:A,0)),"")</f>
        <v/>
      </c>
      <c r="K11" s="7">
        <f>IFERROR(INDEX('Linky z rozpisů'!C:C,MATCH($I11,'Linky z rozpisů'!A:A,0)),"")</f>
        <v/>
      </c>
      <c r="L11" s="7">
        <f>IFERROR(INDEX('Linky z rozpisů'!D:D,MATCH($I11,'Linky z rozpisů'!A:A,0)),"")</f>
        <v/>
      </c>
      <c r="M11" s="7">
        <f>IFERROR(INDEX('Linky z rozpisů'!E:E,MATCH($I11,'Linky z rozpisů'!A:A,0)),"")</f>
        <v/>
      </c>
      <c r="N11" s="6" t="inlineStr"/>
      <c r="O11" s="8" t="n"/>
      <c r="P11" s="8" t="n"/>
      <c r="Q11" s="8" t="inlineStr">
        <is>
          <t>rozpis GB/DP – ověřit, že sem patří</t>
        </is>
      </c>
    </row>
    <row r="12">
      <c r="A12" s="4" t="inlineStr">
        <is>
          <t>PO455</t>
        </is>
      </c>
      <c r="B12" s="4" t="inlineStr">
        <is>
          <t>STRUCTURE</t>
        </is>
      </c>
      <c r="C12" s="4" t="inlineStr">
        <is>
          <t>LHD, RHD</t>
        </is>
      </c>
      <c r="D12" s="4" t="n"/>
      <c r="E12" s="4" t="n">
        <v>4</v>
      </c>
      <c r="F12" s="5" t="n">
        <v>2837</v>
      </c>
      <c r="G12" s="5" t="n">
        <v>14</v>
      </c>
      <c r="H12" s="6" t="inlineStr">
        <is>
          <t>PO455</t>
        </is>
      </c>
      <c r="I12" s="4" t="inlineStr"/>
      <c r="J12" s="7" t="n"/>
      <c r="K12" s="7" t="n"/>
      <c r="L12" s="7" t="n"/>
      <c r="M12" s="7" t="n"/>
      <c r="N12" s="6" t="inlineStr"/>
      <c r="O12" s="8" t="n"/>
      <c r="P12" s="8" t="n"/>
      <c r="Q12" s="8" t="inlineStr">
        <is>
          <t>rozpis nenalezen</t>
        </is>
      </c>
    </row>
    <row r="13">
      <c r="A13" s="4" t="inlineStr">
        <is>
          <t>PO455</t>
        </is>
      </c>
      <c r="B13" s="4" t="inlineStr">
        <is>
          <t>IP</t>
        </is>
      </c>
      <c r="C13" s="4" t="inlineStr">
        <is>
          <t>LHD</t>
        </is>
      </c>
      <c r="D13" s="4" t="n"/>
      <c r="E13" s="4" t="n">
        <v>2</v>
      </c>
      <c r="F13" s="5" t="n">
        <v>56</v>
      </c>
      <c r="G13" s="5" t="n">
        <v>3</v>
      </c>
      <c r="H13" s="6" t="inlineStr">
        <is>
          <t>PO455</t>
        </is>
      </c>
      <c r="I13" s="4" t="inlineStr"/>
      <c r="J13" s="7" t="n"/>
      <c r="K13" s="7" t="n"/>
      <c r="L13" s="7" t="n"/>
      <c r="M13" s="7" t="n"/>
      <c r="N13" s="6" t="inlineStr">
        <is>
          <t>W206 / SK336</t>
        </is>
      </c>
      <c r="O13" s="8" t="n"/>
      <c r="P13" s="8" t="n"/>
      <c r="Q13" s="8" t="inlineStr">
        <is>
          <t>rozpis nenalezen</t>
        </is>
      </c>
    </row>
    <row r="14">
      <c r="A14" s="4" t="inlineStr">
        <is>
          <t>SK336/1</t>
        </is>
      </c>
      <c r="B14" s="4" t="inlineStr">
        <is>
          <t>IP</t>
        </is>
      </c>
      <c r="C14" s="4" t="inlineStr">
        <is>
          <t>LHD, RHD</t>
        </is>
      </c>
      <c r="D14" s="4" t="inlineStr">
        <is>
          <t>HUD</t>
        </is>
      </c>
      <c r="E14" s="4" t="n">
        <v>4</v>
      </c>
      <c r="F14" s="5" t="n">
        <v>114451</v>
      </c>
      <c r="G14" s="5" t="n">
        <v>2492</v>
      </c>
      <c r="H14" s="6" t="inlineStr">
        <is>
          <t>SK336 Assembly</t>
        </is>
      </c>
      <c r="I14" s="4" t="inlineStr">
        <is>
          <t>SK336/W206</t>
        </is>
      </c>
      <c r="J14" s="7">
        <f>IFERROR(INDEX('Linky z rozpisů'!B:B,MATCH($I14,'Linky z rozpisů'!A:A,0)),"")</f>
        <v/>
      </c>
      <c r="K14" s="7">
        <f>IFERROR(INDEX('Linky z rozpisů'!C:C,MATCH($I14,'Linky z rozpisů'!A:A,0)),"")</f>
        <v/>
      </c>
      <c r="L14" s="7">
        <f>IFERROR(INDEX('Linky z rozpisů'!D:D,MATCH($I14,'Linky z rozpisů'!A:A,0)),"")</f>
        <v/>
      </c>
      <c r="M14" s="7">
        <f>IFERROR(INDEX('Linky z rozpisů'!E:E,MATCH($I14,'Linky z rozpisů'!A:A,0)),"")</f>
        <v/>
      </c>
      <c r="N14" s="6" t="inlineStr">
        <is>
          <t>W206 / SK336</t>
        </is>
      </c>
      <c r="O14" s="8" t="n"/>
      <c r="P14" s="8" t="n"/>
      <c r="Q14" s="8" t="inlineStr"/>
    </row>
    <row r="15">
      <c r="A15" s="4" t="inlineStr">
        <is>
          <t>SK371</t>
        </is>
      </c>
      <c r="B15" s="4" t="inlineStr">
        <is>
          <t>SKIN</t>
        </is>
      </c>
      <c r="C15" s="4" t="inlineStr">
        <is>
          <t>LHD, RHD</t>
        </is>
      </c>
      <c r="D15" s="4" t="n"/>
      <c r="E15" s="4" t="n">
        <v>2</v>
      </c>
      <c r="F15" s="5" t="n">
        <v>110600</v>
      </c>
      <c r="G15" s="5" t="n">
        <v>2973</v>
      </c>
      <c r="H15" s="6" t="inlineStr">
        <is>
          <t>Slush</t>
        </is>
      </c>
      <c r="I15" s="4" t="inlineStr">
        <is>
          <t>Slush</t>
        </is>
      </c>
      <c r="J15" s="7">
        <f>IFERROR(INDEX('Linky z rozpisů'!B:B,MATCH($I15,'Linky z rozpisů'!A:A,0)),"")</f>
        <v/>
      </c>
      <c r="K15" s="7">
        <f>IFERROR(INDEX('Linky z rozpisů'!C:C,MATCH($I15,'Linky z rozpisů'!A:A,0)),"")</f>
        <v/>
      </c>
      <c r="L15" s="7">
        <f>IFERROR(INDEX('Linky z rozpisů'!D:D,MATCH($I15,'Linky z rozpisů'!A:A,0)),"")</f>
        <v/>
      </c>
      <c r="M15" s="7">
        <f>IFERROR(INDEX('Linky z rozpisů'!E:E,MATCH($I15,'Linky z rozpisů'!A:A,0)),"")</f>
        <v/>
      </c>
      <c r="N15" s="6" t="inlineStr"/>
      <c r="O15" s="8" t="n"/>
      <c r="P15" s="8" t="n"/>
      <c r="Q15" s="8" t="inlineStr"/>
    </row>
    <row r="16">
      <c r="A16" s="4" t="inlineStr">
        <is>
          <t>V530</t>
        </is>
      </c>
      <c r="B16" s="4" t="inlineStr">
        <is>
          <t>IP</t>
        </is>
      </c>
      <c r="C16" s="4" t="inlineStr">
        <is>
          <t>LHD, RHD</t>
        </is>
      </c>
      <c r="D16" s="4" t="inlineStr">
        <is>
          <t>HUD</t>
        </is>
      </c>
      <c r="E16" s="4" t="n">
        <v>25</v>
      </c>
      <c r="F16" s="5" t="n">
        <v>13446</v>
      </c>
      <c r="G16" s="5" t="n">
        <v>15</v>
      </c>
      <c r="H16" s="6" t="inlineStr">
        <is>
          <t>MBEAM assembly</t>
        </is>
      </c>
      <c r="I16" s="4" t="inlineStr">
        <is>
          <t>MBEAM</t>
        </is>
      </c>
      <c r="J16" s="7">
        <f>IFERROR(INDEX('Linky z rozpisů'!B:B,MATCH($I16,'Linky z rozpisů'!A:A,0)),"")</f>
        <v/>
      </c>
      <c r="K16" s="7">
        <f>IFERROR(INDEX('Linky z rozpisů'!C:C,MATCH($I16,'Linky z rozpisů'!A:A,0)),"")</f>
        <v/>
      </c>
      <c r="L16" s="7">
        <f>IFERROR(INDEX('Linky z rozpisů'!D:D,MATCH($I16,'Linky z rozpisů'!A:A,0)),"")</f>
        <v/>
      </c>
      <c r="M16" s="7">
        <f>IFERROR(INDEX('Linky z rozpisů'!E:E,MATCH($I16,'Linky z rozpisů'!A:A,0)),"")</f>
        <v/>
      </c>
      <c r="N16" s="6" t="inlineStr">
        <is>
          <t>X540 / W520</t>
        </is>
      </c>
      <c r="O16" s="8" t="n"/>
      <c r="P16" s="8" t="n"/>
      <c r="Q16" s="8" t="inlineStr"/>
    </row>
    <row r="17">
      <c r="A17" s="4" t="inlineStr">
        <is>
          <t>W177</t>
        </is>
      </c>
      <c r="B17" s="4" t="inlineStr">
        <is>
          <t>IP</t>
        </is>
      </c>
      <c r="C17" s="4" t="inlineStr">
        <is>
          <t>LHD, RHD</t>
        </is>
      </c>
      <c r="D17" s="4" t="inlineStr">
        <is>
          <t>HUD</t>
        </is>
      </c>
      <c r="E17" s="4" t="n">
        <v>20</v>
      </c>
      <c r="F17" s="5" t="n">
        <v>69713</v>
      </c>
      <c r="G17" s="5" t="n">
        <v>1427</v>
      </c>
      <c r="H17" s="6" t="inlineStr">
        <is>
          <t>W177 IP Assembly</t>
        </is>
      </c>
      <c r="I17" s="4" t="inlineStr">
        <is>
          <t>W177/W247 IP (MFA2)</t>
        </is>
      </c>
      <c r="J17" s="7">
        <f>IFERROR(INDEX('Linky z rozpisů'!B:B,MATCH($I17,'Linky z rozpisů'!A:A,0)),"")</f>
        <v/>
      </c>
      <c r="K17" s="7">
        <f>IFERROR(INDEX('Linky z rozpisů'!C:C,MATCH($I17,'Linky z rozpisů'!A:A,0)),"")</f>
        <v/>
      </c>
      <c r="L17" s="7">
        <f>IFERROR(INDEX('Linky z rozpisů'!D:D,MATCH($I17,'Linky z rozpisů'!A:A,0)),"")</f>
        <v/>
      </c>
      <c r="M17" s="7">
        <f>IFERROR(INDEX('Linky z rozpisů'!E:E,MATCH($I17,'Linky z rozpisů'!A:A,0)),"")</f>
        <v/>
      </c>
      <c r="N17" s="6" t="inlineStr">
        <is>
          <t>W247 IP</t>
        </is>
      </c>
      <c r="O17" s="8" t="n"/>
      <c r="P17" s="8" t="n"/>
      <c r="Q17" s="8" t="inlineStr"/>
    </row>
    <row r="18">
      <c r="A18" s="4" t="inlineStr">
        <is>
          <t>W177</t>
        </is>
      </c>
      <c r="B18" s="4" t="inlineStr">
        <is>
          <t>GVBX</t>
        </is>
      </c>
      <c r="C18" s="4" t="inlineStr">
        <is>
          <t>LHD, RHD</t>
        </is>
      </c>
      <c r="D18" s="4" t="n"/>
      <c r="E18" s="4" t="n">
        <v>5</v>
      </c>
      <c r="F18" s="5" t="n">
        <v>69499</v>
      </c>
      <c r="G18" s="5" t="n">
        <v>1420</v>
      </c>
      <c r="H18" s="6" t="inlineStr">
        <is>
          <t>W177 GB</t>
        </is>
      </c>
      <c r="I18" s="4" t="inlineStr">
        <is>
          <t>GB/DP</t>
        </is>
      </c>
      <c r="J18" s="7">
        <f>IFERROR(INDEX('Linky z rozpisů'!B:B,MATCH($I18,'Linky z rozpisů'!A:A,0)),"")</f>
        <v/>
      </c>
      <c r="K18" s="7">
        <f>IFERROR(INDEX('Linky z rozpisů'!C:C,MATCH($I18,'Linky z rozpisů'!A:A,0)),"")</f>
        <v/>
      </c>
      <c r="L18" s="7">
        <f>IFERROR(INDEX('Linky z rozpisů'!D:D,MATCH($I18,'Linky z rozpisů'!A:A,0)),"")</f>
        <v/>
      </c>
      <c r="M18" s="7">
        <f>IFERROR(INDEX('Linky z rozpisů'!E:E,MATCH($I18,'Linky z rozpisů'!A:A,0)),"")</f>
        <v/>
      </c>
      <c r="N18" s="6" t="inlineStr">
        <is>
          <t>W247 GB / OV64 GB</t>
        </is>
      </c>
      <c r="O18" s="8" t="n"/>
      <c r="P18" s="8" t="n"/>
      <c r="Q18" s="8" t="inlineStr">
        <is>
          <t>rozpis GB/DP – ověřit, že sem patří</t>
        </is>
      </c>
    </row>
    <row r="19">
      <c r="A19" s="4" t="inlineStr">
        <is>
          <t>W177</t>
        </is>
      </c>
      <c r="B19" s="4" t="inlineStr">
        <is>
          <t>DECO</t>
        </is>
      </c>
      <c r="C19" s="4" t="inlineStr">
        <is>
          <t>LHD, RHD</t>
        </is>
      </c>
      <c r="D19" s="4" t="n"/>
      <c r="E19" s="4" t="n">
        <v>8</v>
      </c>
      <c r="F19" s="5" t="n">
        <v>15919</v>
      </c>
      <c r="G19" s="5" t="n">
        <v>371</v>
      </c>
      <c r="H19" s="6" t="inlineStr">
        <is>
          <t>W177 DP</t>
        </is>
      </c>
      <c r="I19" s="4" t="inlineStr"/>
      <c r="J19" s="7" t="n"/>
      <c r="K19" s="7" t="n"/>
      <c r="L19" s="7" t="n"/>
      <c r="M19" s="7" t="n"/>
      <c r="N19" s="6" t="inlineStr"/>
      <c r="O19" s="8" t="n"/>
      <c r="P19" s="8" t="n"/>
      <c r="Q19" s="8" t="inlineStr">
        <is>
          <t>rozpis nenalezen – patří do GB/DP?</t>
        </is>
      </c>
    </row>
    <row r="20">
      <c r="A20" s="4" t="inlineStr">
        <is>
          <t>W206</t>
        </is>
      </c>
      <c r="B20" s="4" t="inlineStr">
        <is>
          <t>SKIN</t>
        </is>
      </c>
      <c r="C20" s="4" t="inlineStr">
        <is>
          <t>LHD, RHD</t>
        </is>
      </c>
      <c r="D20" s="4" t="n"/>
      <c r="E20" s="4" t="n">
        <v>2</v>
      </c>
      <c r="F20" s="5" t="n">
        <v>23508</v>
      </c>
      <c r="G20" s="5" t="n">
        <v>310</v>
      </c>
      <c r="H20" s="6" t="inlineStr">
        <is>
          <t>Slush</t>
        </is>
      </c>
      <c r="I20" s="4" t="inlineStr">
        <is>
          <t>Slush</t>
        </is>
      </c>
      <c r="J20" s="7">
        <f>IFERROR(INDEX('Linky z rozpisů'!B:B,MATCH($I20,'Linky z rozpisů'!A:A,0)),"")</f>
        <v/>
      </c>
      <c r="K20" s="7">
        <f>IFERROR(INDEX('Linky z rozpisů'!C:C,MATCH($I20,'Linky z rozpisů'!A:A,0)),"")</f>
        <v/>
      </c>
      <c r="L20" s="7">
        <f>IFERROR(INDEX('Linky z rozpisů'!D:D,MATCH($I20,'Linky z rozpisů'!A:A,0)),"")</f>
        <v/>
      </c>
      <c r="M20" s="7">
        <f>IFERROR(INDEX('Linky z rozpisů'!E:E,MATCH($I20,'Linky z rozpisů'!A:A,0)),"")</f>
        <v/>
      </c>
      <c r="N20" s="6" t="inlineStr"/>
      <c r="O20" s="8" t="n"/>
      <c r="P20" s="8" t="n"/>
      <c r="Q20" s="8" t="inlineStr"/>
    </row>
    <row r="21">
      <c r="A21" s="4" t="inlineStr">
        <is>
          <t>W206</t>
        </is>
      </c>
      <c r="B21" s="4" t="inlineStr">
        <is>
          <t>IP</t>
        </is>
      </c>
      <c r="C21" s="4" t="inlineStr">
        <is>
          <t>LHD, RHD</t>
        </is>
      </c>
      <c r="D21" s="4" t="inlineStr">
        <is>
          <t>HUD</t>
        </is>
      </c>
      <c r="E21" s="4" t="n">
        <v>9</v>
      </c>
      <c r="F21" s="5" t="n">
        <v>14623</v>
      </c>
      <c r="G21" s="5" t="n">
        <v>308</v>
      </c>
      <c r="H21" s="6" t="inlineStr">
        <is>
          <t>W206 IP assembly</t>
        </is>
      </c>
      <c r="I21" s="4" t="inlineStr">
        <is>
          <t>SK336/W206</t>
        </is>
      </c>
      <c r="J21" s="7">
        <f>IFERROR(INDEX('Linky z rozpisů'!B:B,MATCH($I21,'Linky z rozpisů'!A:A,0)),"")</f>
        <v/>
      </c>
      <c r="K21" s="7">
        <f>IFERROR(INDEX('Linky z rozpisů'!C:C,MATCH($I21,'Linky z rozpisů'!A:A,0)),"")</f>
        <v/>
      </c>
      <c r="L21" s="7">
        <f>IFERROR(INDEX('Linky z rozpisů'!D:D,MATCH($I21,'Linky z rozpisů'!A:A,0)),"")</f>
        <v/>
      </c>
      <c r="M21" s="7">
        <f>IFERROR(INDEX('Linky z rozpisů'!E:E,MATCH($I21,'Linky z rozpisů'!A:A,0)),"")</f>
        <v/>
      </c>
      <c r="N21" s="6" t="inlineStr">
        <is>
          <t>SK336 / PO455</t>
        </is>
      </c>
      <c r="O21" s="8" t="n"/>
      <c r="P21" s="8" t="n"/>
      <c r="Q21" s="8" t="inlineStr"/>
    </row>
    <row r="22">
      <c r="A22" s="4" t="inlineStr">
        <is>
          <t>W247</t>
        </is>
      </c>
      <c r="B22" s="4" t="inlineStr">
        <is>
          <t>GVBX</t>
        </is>
      </c>
      <c r="C22" s="4" t="inlineStr">
        <is>
          <t>LHD, RHD</t>
        </is>
      </c>
      <c r="D22" s="4" t="n"/>
      <c r="E22" s="4" t="n">
        <v>4</v>
      </c>
      <c r="F22" s="5" t="n">
        <v>3612</v>
      </c>
      <c r="G22" s="5" t="n">
        <v>16</v>
      </c>
      <c r="H22" s="6" t="inlineStr">
        <is>
          <t>W247 GB</t>
        </is>
      </c>
      <c r="I22" s="4" t="inlineStr">
        <is>
          <t>GB/DP</t>
        </is>
      </c>
      <c r="J22" s="7">
        <f>IFERROR(INDEX('Linky z rozpisů'!B:B,MATCH($I22,'Linky z rozpisů'!A:A,0)),"")</f>
        <v/>
      </c>
      <c r="K22" s="7">
        <f>IFERROR(INDEX('Linky z rozpisů'!C:C,MATCH($I22,'Linky z rozpisů'!A:A,0)),"")</f>
        <v/>
      </c>
      <c r="L22" s="7">
        <f>IFERROR(INDEX('Linky z rozpisů'!D:D,MATCH($I22,'Linky z rozpisů'!A:A,0)),"")</f>
        <v/>
      </c>
      <c r="M22" s="7">
        <f>IFERROR(INDEX('Linky z rozpisů'!E:E,MATCH($I22,'Linky z rozpisů'!A:A,0)),"")</f>
        <v/>
      </c>
      <c r="N22" s="6" t="inlineStr">
        <is>
          <t>W177 GB / OV64 GB</t>
        </is>
      </c>
      <c r="O22" s="8" t="n"/>
      <c r="P22" s="8" t="n"/>
      <c r="Q22" s="8" t="inlineStr">
        <is>
          <t>rozpis GB/DP – ověřit, že sem patří</t>
        </is>
      </c>
    </row>
    <row r="23">
      <c r="A23" s="4" t="inlineStr">
        <is>
          <t>W247</t>
        </is>
      </c>
      <c r="B23" s="4" t="inlineStr">
        <is>
          <t>IP</t>
        </is>
      </c>
      <c r="C23" s="4" t="inlineStr">
        <is>
          <t>LHD, RHD</t>
        </is>
      </c>
      <c r="D23" s="4" t="inlineStr">
        <is>
          <t>HUD</t>
        </is>
      </c>
      <c r="E23" s="4" t="n">
        <v>12</v>
      </c>
      <c r="F23" s="5" t="n">
        <v>2996</v>
      </c>
      <c r="G23" s="5" t="n">
        <v>3</v>
      </c>
      <c r="H23" s="6" t="inlineStr">
        <is>
          <t>W247 IP Assembly</t>
        </is>
      </c>
      <c r="I23" s="4" t="inlineStr">
        <is>
          <t>W177/W247 IP (MFA2)</t>
        </is>
      </c>
      <c r="J23" s="7">
        <f>IFERROR(INDEX('Linky z rozpisů'!B:B,MATCH($I23,'Linky z rozpisů'!A:A,0)),"")</f>
        <v/>
      </c>
      <c r="K23" s="7">
        <f>IFERROR(INDEX('Linky z rozpisů'!C:C,MATCH($I23,'Linky z rozpisů'!A:A,0)),"")</f>
        <v/>
      </c>
      <c r="L23" s="7">
        <f>IFERROR(INDEX('Linky z rozpisů'!D:D,MATCH($I23,'Linky z rozpisů'!A:A,0)),"")</f>
        <v/>
      </c>
      <c r="M23" s="7">
        <f>IFERROR(INDEX('Linky z rozpisů'!E:E,MATCH($I23,'Linky z rozpisů'!A:A,0)),"")</f>
        <v/>
      </c>
      <c r="N23" s="6" t="inlineStr">
        <is>
          <t>W177 IP</t>
        </is>
      </c>
      <c r="O23" s="8" t="n"/>
      <c r="P23" s="8" t="n"/>
      <c r="Q23" s="8" t="inlineStr"/>
    </row>
    <row r="24">
      <c r="A24" s="4" t="inlineStr">
        <is>
          <t>W520</t>
        </is>
      </c>
      <c r="B24" s="4" t="inlineStr">
        <is>
          <t>IP</t>
        </is>
      </c>
      <c r="C24" s="4" t="inlineStr">
        <is>
          <t>LHD, RHD</t>
        </is>
      </c>
      <c r="D24" s="4" t="inlineStr">
        <is>
          <t>HUD</t>
        </is>
      </c>
      <c r="E24" s="4" t="n">
        <v>62</v>
      </c>
      <c r="F24" s="5" t="n">
        <v>51850</v>
      </c>
      <c r="G24" s="5" t="n">
        <v>1084</v>
      </c>
      <c r="H24" s="6" t="inlineStr">
        <is>
          <t>MBEAM assembly</t>
        </is>
      </c>
      <c r="I24" s="4" t="inlineStr">
        <is>
          <t>MBEAM</t>
        </is>
      </c>
      <c r="J24" s="7">
        <f>IFERROR(INDEX('Linky z rozpisů'!B:B,MATCH($I24,'Linky z rozpisů'!A:A,0)),"")</f>
        <v/>
      </c>
      <c r="K24" s="7">
        <f>IFERROR(INDEX('Linky z rozpisů'!C:C,MATCH($I24,'Linky z rozpisů'!A:A,0)),"")</f>
        <v/>
      </c>
      <c r="L24" s="7">
        <f>IFERROR(INDEX('Linky z rozpisů'!D:D,MATCH($I24,'Linky z rozpisů'!A:A,0)),"")</f>
        <v/>
      </c>
      <c r="M24" s="7">
        <f>IFERROR(INDEX('Linky z rozpisů'!E:E,MATCH($I24,'Linky z rozpisů'!A:A,0)),"")</f>
        <v/>
      </c>
      <c r="N24" s="6" t="inlineStr">
        <is>
          <t>X540 / V530</t>
        </is>
      </c>
      <c r="O24" s="8" t="n"/>
      <c r="P24" s="8" t="n"/>
      <c r="Q24" s="8" t="inlineStr"/>
    </row>
    <row r="25">
      <c r="A25" s="4" t="inlineStr">
        <is>
          <t>W520</t>
        </is>
      </c>
      <c r="B25" s="4" t="inlineStr">
        <is>
          <t>bez kategorie</t>
        </is>
      </c>
      <c r="C25" s="4" t="n"/>
      <c r="D25" s="4" t="n"/>
      <c r="E25" s="4" t="n">
        <v>2</v>
      </c>
      <c r="F25" s="5" t="n">
        <v>6</v>
      </c>
      <c r="G25" s="5" t="n">
        <v>0</v>
      </c>
      <c r="H25" s="6" t="inlineStr"/>
      <c r="I25" s="4" t="inlineStr"/>
      <c r="J25" s="7" t="n"/>
      <c r="K25" s="7" t="n"/>
      <c r="L25" s="7" t="n"/>
      <c r="M25" s="7" t="n"/>
      <c r="N25" s="6" t="inlineStr"/>
      <c r="O25" s="8" t="n"/>
      <c r="P25" s="8" t="n"/>
      <c r="Q25" s="8" t="inlineStr"/>
    </row>
    <row r="26">
      <c r="A26" s="4" t="inlineStr">
        <is>
          <t>X540</t>
        </is>
      </c>
      <c r="B26" s="4" t="inlineStr">
        <is>
          <t>IP</t>
        </is>
      </c>
      <c r="C26" s="4" t="inlineStr">
        <is>
          <t>LHD, RHD</t>
        </is>
      </c>
      <c r="D26" s="4" t="inlineStr">
        <is>
          <t>HUD</t>
        </is>
      </c>
      <c r="E26" s="4" t="n">
        <v>56</v>
      </c>
      <c r="F26" s="5" t="n">
        <v>144143</v>
      </c>
      <c r="G26" s="5" t="n">
        <v>2427</v>
      </c>
      <c r="H26" s="6" t="inlineStr">
        <is>
          <t>MBEAM assembly</t>
        </is>
      </c>
      <c r="I26" s="4" t="inlineStr">
        <is>
          <t>MBEAM</t>
        </is>
      </c>
      <c r="J26" s="7">
        <f>IFERROR(INDEX('Linky z rozpisů'!B:B,MATCH($I26,'Linky z rozpisů'!A:A,0)),"")</f>
        <v/>
      </c>
      <c r="K26" s="7">
        <f>IFERROR(INDEX('Linky z rozpisů'!C:C,MATCH($I26,'Linky z rozpisů'!A:A,0)),"")</f>
        <v/>
      </c>
      <c r="L26" s="7">
        <f>IFERROR(INDEX('Linky z rozpisů'!D:D,MATCH($I26,'Linky z rozpisů'!A:A,0)),"")</f>
        <v/>
      </c>
      <c r="M26" s="7">
        <f>IFERROR(INDEX('Linky z rozpisů'!E:E,MATCH($I26,'Linky z rozpisů'!A:A,0)),"")</f>
        <v/>
      </c>
      <c r="N26" s="6" t="inlineStr">
        <is>
          <t>V530 / W520</t>
        </is>
      </c>
      <c r="O26" s="8" t="n"/>
      <c r="P26" s="8" t="n"/>
      <c r="Q26" s="8" t="inlineStr"/>
    </row>
  </sheetData>
  <autoFilter ref="A4:Q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1" customWidth="1" min="3" max="3"/>
    <col width="9" customWidth="1" min="4" max="4"/>
    <col width="12" customWidth="1" min="5" max="5"/>
    <col width="10" customWidth="1" min="6" max="6"/>
    <col width="16" customWidth="1" min="7" max="7"/>
    <col width="14" customWidth="1" min="8" max="8"/>
  </cols>
  <sheetData>
    <row r="1">
      <c r="A1" s="1" t="inlineStr">
        <is>
          <t>Normy po linkách – doplnit (žluté)</t>
        </is>
      </c>
    </row>
    <row r="2">
      <c r="A2" s="2" t="inlineStr">
        <is>
          <t>Norma = dobré kusy za 8h směnu při 100 % OEE (dle IE / routingu). OP standard = počet operátorů na směnu podle balancingu. Skutečnost OP doplnit později.</t>
        </is>
      </c>
    </row>
    <row r="4" ht="45" customHeight="1">
      <c r="A4" s="16" t="inlineStr">
        <is>
          <t>Linka</t>
        </is>
      </c>
      <c r="B4" s="16" t="inlineStr">
        <is>
          <t>Projekty</t>
        </is>
      </c>
      <c r="C4" s="16" t="inlineStr">
        <is>
          <t>Norma ks/8h</t>
        </is>
      </c>
      <c r="D4" s="16" t="inlineStr">
        <is>
          <t>Plán OEE</t>
        </is>
      </c>
      <c r="E4" s="16" t="inlineStr">
        <is>
          <t>OP standard na směnu</t>
        </is>
      </c>
      <c r="F4" s="16" t="inlineStr">
        <is>
          <t>Max směn/týden</t>
        </is>
      </c>
      <c r="G4" s="16" t="inlineStr">
        <is>
          <t>Skutečnost OP za den (doplnit později)</t>
        </is>
      </c>
      <c r="H4" s="16" t="inlineStr">
        <is>
          <t>Owner normy</t>
        </is>
      </c>
    </row>
    <row r="5">
      <c r="A5" s="4" t="inlineStr">
        <is>
          <t>Slush</t>
        </is>
      </c>
      <c r="B5" s="4" t="inlineStr">
        <is>
          <t>AU38X SKIN, SK371 SKIN, W206 SKIN</t>
        </is>
      </c>
      <c r="C5" s="8" t="n"/>
      <c r="D5" s="17" t="n"/>
      <c r="E5" s="8" t="n"/>
      <c r="F5" s="8" t="n">
        <v>15</v>
      </c>
      <c r="G5" s="8" t="n"/>
      <c r="H5" s="4" t="inlineStr">
        <is>
          <t>David Varhan</t>
        </is>
      </c>
    </row>
    <row r="6">
      <c r="A6" s="4" t="inlineStr">
        <is>
          <t>G463 Assembly</t>
        </is>
      </c>
      <c r="B6" s="4" t="inlineStr">
        <is>
          <t>G463 M DP, G463 M HB</t>
        </is>
      </c>
      <c r="C6" s="8" t="n"/>
      <c r="D6" s="17" t="n"/>
      <c r="E6" s="8" t="n"/>
      <c r="F6" s="8" t="n">
        <v>15</v>
      </c>
      <c r="G6" s="8" t="n"/>
      <c r="H6" s="4" t="inlineStr">
        <is>
          <t>David Varhan</t>
        </is>
      </c>
    </row>
    <row r="7">
      <c r="A7" s="4" t="inlineStr">
        <is>
          <t>IMM</t>
        </is>
      </c>
      <c r="B7" s="4" t="inlineStr">
        <is>
          <t>OV51/52 END CAP</t>
        </is>
      </c>
      <c r="C7" s="8" t="n"/>
      <c r="D7" s="17" t="n"/>
      <c r="E7" s="8" t="n"/>
      <c r="F7" s="8" t="n">
        <v>15</v>
      </c>
      <c r="G7" s="8" t="n"/>
      <c r="H7" s="4" t="inlineStr">
        <is>
          <t>David Varhan</t>
        </is>
      </c>
    </row>
    <row r="8">
      <c r="A8" s="4" t="inlineStr">
        <is>
          <t>OV51/64</t>
        </is>
      </c>
      <c r="B8" s="4" t="inlineStr">
        <is>
          <t>OV51/52 IP, OV64 IP</t>
        </is>
      </c>
      <c r="C8" s="8" t="n"/>
      <c r="D8" s="17" t="n"/>
      <c r="E8" s="8" t="n"/>
      <c r="F8" s="8" t="n">
        <v>15</v>
      </c>
      <c r="G8" s="8" t="n"/>
      <c r="H8" s="4" t="inlineStr">
        <is>
          <t>David Varhan</t>
        </is>
      </c>
    </row>
    <row r="9">
      <c r="A9" s="4" t="inlineStr">
        <is>
          <t>GB/DP</t>
        </is>
      </c>
      <c r="B9" s="4" t="inlineStr">
        <is>
          <t>OV64 GVBX, W177 GVBX, W247 GVBX</t>
        </is>
      </c>
      <c r="C9" s="8" t="n"/>
      <c r="D9" s="17" t="n"/>
      <c r="E9" s="8" t="n"/>
      <c r="F9" s="8" t="n">
        <v>15</v>
      </c>
      <c r="G9" s="8" t="n"/>
      <c r="H9" s="4" t="inlineStr">
        <is>
          <t>David Varhan</t>
        </is>
      </c>
    </row>
    <row r="10">
      <c r="A10" s="4" t="inlineStr">
        <is>
          <t>SK336/W206</t>
        </is>
      </c>
      <c r="B10" s="4" t="inlineStr">
        <is>
          <t>SK336/1 IP, W206 IP</t>
        </is>
      </c>
      <c r="C10" s="8" t="n"/>
      <c r="D10" s="17" t="n"/>
      <c r="E10" s="8" t="n"/>
      <c r="F10" s="8" t="n">
        <v>15</v>
      </c>
      <c r="G10" s="8" t="n"/>
      <c r="H10" s="4" t="inlineStr">
        <is>
          <t>David Varhan</t>
        </is>
      </c>
    </row>
    <row r="11">
      <c r="A11" s="4" t="inlineStr">
        <is>
          <t>MBEAM</t>
        </is>
      </c>
      <c r="B11" s="4" t="inlineStr">
        <is>
          <t>V530 IP, W520 IP, X540 IP</t>
        </is>
      </c>
      <c r="C11" s="8" t="n"/>
      <c r="D11" s="17" t="n"/>
      <c r="E11" s="8" t="n"/>
      <c r="F11" s="8" t="n">
        <v>15</v>
      </c>
      <c r="G11" s="8" t="n"/>
      <c r="H11" s="4" t="inlineStr">
        <is>
          <t>David Varhan</t>
        </is>
      </c>
    </row>
    <row r="12">
      <c r="A12" s="4" t="inlineStr">
        <is>
          <t>W177/W247 IP</t>
        </is>
      </c>
      <c r="B12" s="4" t="inlineStr">
        <is>
          <t>W177 IP, W247 IP</t>
        </is>
      </c>
      <c r="C12" s="8" t="n"/>
      <c r="D12" s="17" t="n"/>
      <c r="E12" s="8" t="n"/>
      <c r="F12" s="8" t="n">
        <v>15</v>
      </c>
      <c r="G12" s="8" t="n"/>
      <c r="H12" s="4" t="inlineStr">
        <is>
          <t>David Varhan</t>
        </is>
      </c>
    </row>
    <row r="13">
      <c r="A13" s="4" t="inlineStr">
        <is>
          <t>W177 DP</t>
        </is>
      </c>
      <c r="B13" s="4" t="inlineStr">
        <is>
          <t>W177 DECO</t>
        </is>
      </c>
      <c r="C13" s="8" t="n"/>
      <c r="D13" s="17" t="n"/>
      <c r="E13" s="8" t="n"/>
      <c r="F13" s="8" t="n">
        <v>15</v>
      </c>
      <c r="G13" s="8" t="n"/>
      <c r="H13" s="4" t="inlineStr">
        <is>
          <t>David Varhan</t>
        </is>
      </c>
    </row>
    <row r="14">
      <c r="A14" s="4" t="inlineStr">
        <is>
          <t>PO455</t>
        </is>
      </c>
      <c r="B14" s="4" t="inlineStr">
        <is>
          <t>PO455 IP, PO455 STRUCTURE</t>
        </is>
      </c>
      <c r="C14" s="8" t="n"/>
      <c r="D14" s="17" t="n"/>
      <c r="E14" s="8" t="n"/>
      <c r="F14" s="8" t="n">
        <v>15</v>
      </c>
      <c r="G14" s="8" t="n"/>
      <c r="H14" s="4" t="inlineStr">
        <is>
          <t>David Varhan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40" customWidth="1" min="3" max="3"/>
  </cols>
  <sheetData>
    <row r="1">
      <c r="A1" s="1" t="inlineStr">
        <is>
          <t>Parametry výpočtu FTE</t>
        </is>
      </c>
    </row>
    <row r="3">
      <c r="A3" s="16" t="inlineStr">
        <is>
          <t>Parametr</t>
        </is>
      </c>
      <c r="B3" s="16" t="inlineStr">
        <is>
          <t>Hodnota</t>
        </is>
      </c>
      <c r="C3" s="16" t="inlineStr">
        <is>
          <t>Poznámka</t>
        </is>
      </c>
    </row>
    <row r="4">
      <c r="A4" s="4" t="inlineStr">
        <is>
          <t>Hodin na FTE za týden</t>
        </is>
      </c>
      <c r="B4" s="8" t="n">
        <v>37.5</v>
      </c>
      <c r="C4" s="4" t="inlineStr">
        <is>
          <t>smluvní týdenní fond</t>
        </is>
      </c>
    </row>
    <row r="5">
      <c r="A5" s="4" t="inlineStr">
        <is>
          <t>Absence + dovolená</t>
        </is>
      </c>
      <c r="B5" s="17" t="n">
        <v>0.1</v>
      </c>
      <c r="C5" s="4" t="inlineStr">
        <is>
          <t>podíl, doplnit z HR</t>
        </is>
      </c>
    </row>
    <row r="6">
      <c r="A6" s="4" t="inlineStr">
        <is>
          <t>Délka směny (h)</t>
        </is>
      </c>
      <c r="B6" s="8" t="n">
        <v>8</v>
      </c>
      <c r="C6" s="4" t="inlineStr">
        <is>
          <t>normy se zadávají na 8h směnu</t>
        </is>
      </c>
    </row>
    <row r="7">
      <c r="A7" s="4" t="inlineStr">
        <is>
          <t>Výchozí plán OEE</t>
        </is>
      </c>
      <c r="B7" s="17" t="n">
        <v>0.85</v>
      </c>
      <c r="C7" s="4" t="inlineStr">
        <is>
          <t>použije se, když u linky OEE chybí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.5" customWidth="1" min="35" max="35"/>
    <col width="8.5" customWidth="1" min="36" max="36"/>
    <col width="8.5" customWidth="1" min="37" max="37"/>
    <col width="8.5" customWidth="1" min="38" max="38"/>
    <col width="8.5" customWidth="1" min="39" max="39"/>
    <col width="8.5" customWidth="1" min="40" max="40"/>
    <col width="8.5" customWidth="1" min="41" max="41"/>
    <col width="8.5" customWidth="1" min="42" max="42"/>
    <col width="8.5" customWidth="1" min="43" max="43"/>
    <col width="8.5" customWidth="1" min="44" max="44"/>
    <col width="8.5" customWidth="1" min="45" max="45"/>
    <col width="8.5" customWidth="1" min="46" max="46"/>
    <col width="8.5" customWidth="1" min="47" max="47"/>
    <col width="8.5" customWidth="1" min="48" max="48"/>
    <col width="8.5" customWidth="1" min="49" max="49"/>
    <col width="8.5" customWidth="1" min="50" max="50"/>
    <col width="8.5" customWidth="1" min="51" max="51"/>
    <col width="8.5" customWidth="1" min="52" max="52"/>
    <col width="8.5" customWidth="1" min="53" max="53"/>
    <col width="8.5" customWidth="1" min="54" max="54"/>
    <col width="8.5" customWidth="1" min="55" max="55"/>
    <col width="8.5" customWidth="1" min="56" max="56"/>
    <col width="8.5" customWidth="1" min="57" max="57"/>
    <col width="8.5" customWidth="1" min="58" max="58"/>
    <col width="8.5" customWidth="1" min="59" max="59"/>
    <col width="8.5" customWidth="1" min="60" max="60"/>
    <col width="8.5" customWidth="1" min="61" max="61"/>
    <col width="8.5" customWidth="1" min="62" max="62"/>
    <col width="8.5" customWidth="1" min="63" max="63"/>
    <col width="8.5" customWidth="1" min="64" max="64"/>
    <col width="8.5" customWidth="1" min="65" max="65"/>
  </cols>
  <sheetData>
    <row r="1">
      <c r="A1" s="1" t="inlineStr">
        <is>
          <t>Volume po lince z odvolávek CW43/2026 (ks/týden, hotové díly)</t>
        </is>
      </c>
    </row>
    <row r="3">
      <c r="A3" s="16" t="inlineStr">
        <is>
          <t>Linka</t>
        </is>
      </c>
      <c r="B3" s="16" t="inlineStr">
        <is>
          <t>CW 43</t>
        </is>
      </c>
      <c r="C3" s="16" t="inlineStr">
        <is>
          <t>CW 44</t>
        </is>
      </c>
      <c r="D3" s="16" t="inlineStr">
        <is>
          <t>CW 45</t>
        </is>
      </c>
      <c r="E3" s="16" t="inlineStr">
        <is>
          <t>CW 46</t>
        </is>
      </c>
      <c r="F3" s="16" t="inlineStr">
        <is>
          <t>CW 47</t>
        </is>
      </c>
      <c r="G3" s="16" t="inlineStr">
        <is>
          <t>CW 48</t>
        </is>
      </c>
      <c r="H3" s="16" t="inlineStr">
        <is>
          <t>CW 49</t>
        </is>
      </c>
      <c r="I3" s="16" t="inlineStr">
        <is>
          <t>CW 50</t>
        </is>
      </c>
      <c r="J3" s="16" t="inlineStr">
        <is>
          <t>CW 51</t>
        </is>
      </c>
      <c r="K3" s="16" t="inlineStr">
        <is>
          <t>CW 52</t>
        </is>
      </c>
      <c r="L3" s="16" t="inlineStr">
        <is>
          <t>CW 53</t>
        </is>
      </c>
      <c r="M3" s="16" t="inlineStr">
        <is>
          <t>CW 1/2027</t>
        </is>
      </c>
      <c r="N3" s="16" t="inlineStr">
        <is>
          <t>CW 2/2027</t>
        </is>
      </c>
      <c r="O3" s="16" t="inlineStr">
        <is>
          <t>CW 3/2027</t>
        </is>
      </c>
      <c r="P3" s="16" t="inlineStr">
        <is>
          <t>CW 4/2027</t>
        </is>
      </c>
      <c r="Q3" s="16" t="inlineStr">
        <is>
          <t>CW 5/2027</t>
        </is>
      </c>
      <c r="R3" s="16" t="inlineStr">
        <is>
          <t>CW 6/2027</t>
        </is>
      </c>
      <c r="S3" s="16" t="inlineStr">
        <is>
          <t>CW 7/2027</t>
        </is>
      </c>
      <c r="T3" s="16" t="inlineStr">
        <is>
          <t>CW 8/2027</t>
        </is>
      </c>
      <c r="U3" s="16" t="inlineStr">
        <is>
          <t>CW 9/2027</t>
        </is>
      </c>
      <c r="V3" s="16" t="inlineStr">
        <is>
          <t>CW 10/2027</t>
        </is>
      </c>
      <c r="W3" s="16" t="inlineStr">
        <is>
          <t>CW 11/2027</t>
        </is>
      </c>
      <c r="X3" s="16" t="inlineStr">
        <is>
          <t>CW 12/2027</t>
        </is>
      </c>
      <c r="Y3" s="16" t="inlineStr">
        <is>
          <t>CW 13/2027</t>
        </is>
      </c>
      <c r="Z3" s="16" t="inlineStr">
        <is>
          <t>CW 14/2027</t>
        </is>
      </c>
      <c r="AA3" s="16" t="inlineStr">
        <is>
          <t>CW 15/2027</t>
        </is>
      </c>
      <c r="AB3" s="16" t="inlineStr">
        <is>
          <t>CW 16/2027</t>
        </is>
      </c>
      <c r="AC3" s="16" t="inlineStr">
        <is>
          <t>CW 17/2027</t>
        </is>
      </c>
      <c r="AD3" s="16" t="inlineStr">
        <is>
          <t>CW 18/2027</t>
        </is>
      </c>
      <c r="AE3" s="16" t="inlineStr">
        <is>
          <t>CW 19/2027</t>
        </is>
      </c>
      <c r="AF3" s="16" t="inlineStr">
        <is>
          <t>CW 20/2027</t>
        </is>
      </c>
      <c r="AG3" s="16" t="inlineStr">
        <is>
          <t>CW 21/2027</t>
        </is>
      </c>
      <c r="AH3" s="16" t="inlineStr">
        <is>
          <t>CW 22/2027</t>
        </is>
      </c>
      <c r="AI3" s="16" t="inlineStr">
        <is>
          <t>CW 23/2027</t>
        </is>
      </c>
      <c r="AJ3" s="16" t="inlineStr">
        <is>
          <t>CW 24/2027</t>
        </is>
      </c>
      <c r="AK3" s="16" t="inlineStr">
        <is>
          <t>CW 25/2027</t>
        </is>
      </c>
      <c r="AL3" s="16" t="inlineStr">
        <is>
          <t>CW 26/2027</t>
        </is>
      </c>
      <c r="AM3" s="16" t="inlineStr">
        <is>
          <t>CW 27/2027</t>
        </is>
      </c>
      <c r="AN3" s="16" t="inlineStr">
        <is>
          <t>CW 28/2027</t>
        </is>
      </c>
      <c r="AO3" s="16" t="inlineStr">
        <is>
          <t>CW 29/2027</t>
        </is>
      </c>
      <c r="AP3" s="16" t="inlineStr">
        <is>
          <t>CW 30/2027</t>
        </is>
      </c>
      <c r="AQ3" s="16" t="inlineStr">
        <is>
          <t>CW 31/2027</t>
        </is>
      </c>
      <c r="AR3" s="16" t="inlineStr">
        <is>
          <t>CW 32/2027</t>
        </is>
      </c>
      <c r="AS3" s="16" t="inlineStr">
        <is>
          <t>CW 33/2027</t>
        </is>
      </c>
      <c r="AT3" s="16" t="inlineStr">
        <is>
          <t>CW 34/2027</t>
        </is>
      </c>
      <c r="AU3" s="16" t="inlineStr">
        <is>
          <t>CW 35/2027</t>
        </is>
      </c>
      <c r="AV3" s="16" t="inlineStr">
        <is>
          <t>CW 36/2027</t>
        </is>
      </c>
      <c r="AW3" s="16" t="inlineStr">
        <is>
          <t>CW 37/2027</t>
        </is>
      </c>
      <c r="AX3" s="16" t="inlineStr">
        <is>
          <t>CW 38/2027</t>
        </is>
      </c>
      <c r="AY3" s="16" t="inlineStr">
        <is>
          <t>CW 39/2027</t>
        </is>
      </c>
      <c r="AZ3" s="16" t="inlineStr">
        <is>
          <t>CW 40/2027</t>
        </is>
      </c>
      <c r="BA3" s="16" t="inlineStr">
        <is>
          <t>CW 41/2027</t>
        </is>
      </c>
      <c r="BB3" s="16" t="inlineStr">
        <is>
          <t>CW 42/2027</t>
        </is>
      </c>
      <c r="BC3" s="16" t="inlineStr">
        <is>
          <t>CW 43/2027</t>
        </is>
      </c>
      <c r="BD3" s="16" t="inlineStr">
        <is>
          <t>CW 44/2027</t>
        </is>
      </c>
      <c r="BE3" s="16" t="inlineStr">
        <is>
          <t>CW 45/2027</t>
        </is>
      </c>
      <c r="BF3" s="16" t="inlineStr">
        <is>
          <t>CW 46/2027</t>
        </is>
      </c>
      <c r="BG3" s="16" t="inlineStr">
        <is>
          <t>CW 47/2027</t>
        </is>
      </c>
      <c r="BH3" s="16" t="inlineStr">
        <is>
          <t>CW 48/2027</t>
        </is>
      </c>
      <c r="BI3" s="16" t="inlineStr">
        <is>
          <t>CW 49/2027</t>
        </is>
      </c>
      <c r="BJ3" s="16" t="inlineStr">
        <is>
          <t>CW 50/2027</t>
        </is>
      </c>
      <c r="BK3" s="16" t="inlineStr">
        <is>
          <t>CW 51/2027</t>
        </is>
      </c>
      <c r="BL3" s="16" t="inlineStr">
        <is>
          <t>CW 52/2027</t>
        </is>
      </c>
      <c r="BM3" s="16" t="inlineStr">
        <is>
          <t>Celkem</t>
        </is>
      </c>
    </row>
    <row r="4">
      <c r="A4" s="18" t="inlineStr">
        <is>
          <t>Slush</t>
        </is>
      </c>
      <c r="B4" s="5" t="n">
        <v>6800</v>
      </c>
      <c r="C4" s="5" t="n">
        <v>9332</v>
      </c>
      <c r="D4" s="5" t="n">
        <v>6200</v>
      </c>
      <c r="E4" s="5" t="n">
        <v>7250</v>
      </c>
      <c r="F4" s="5" t="n">
        <v>7600</v>
      </c>
      <c r="G4" s="5" t="n">
        <v>8768</v>
      </c>
      <c r="H4" s="5" t="n">
        <v>7918</v>
      </c>
      <c r="I4" s="5" t="n">
        <v>8554</v>
      </c>
      <c r="J4" s="5" t="n">
        <v>6090</v>
      </c>
      <c r="K4" s="5" t="n">
        <v>3068</v>
      </c>
      <c r="L4" s="5" t="n">
        <v>0</v>
      </c>
      <c r="M4" s="5" t="n">
        <v>7660</v>
      </c>
      <c r="N4" s="5" t="n">
        <v>7640</v>
      </c>
      <c r="O4" s="5" t="n">
        <v>7610</v>
      </c>
      <c r="P4" s="5" t="n">
        <v>8654</v>
      </c>
      <c r="Q4" s="5" t="n">
        <v>8672</v>
      </c>
      <c r="R4" s="5" t="n">
        <v>8480</v>
      </c>
      <c r="S4" s="5" t="n">
        <v>8575</v>
      </c>
      <c r="T4" s="5" t="n">
        <v>8479</v>
      </c>
      <c r="U4" s="5" t="n">
        <v>9772</v>
      </c>
      <c r="V4" s="5" t="n">
        <v>9772</v>
      </c>
      <c r="W4" s="5" t="n">
        <v>9772</v>
      </c>
      <c r="X4" s="5" t="n">
        <v>9772</v>
      </c>
      <c r="Y4" s="5" t="n">
        <v>9964</v>
      </c>
      <c r="Z4" s="5" t="n">
        <v>7199</v>
      </c>
      <c r="AA4" s="5" t="n">
        <v>7487</v>
      </c>
      <c r="AB4" s="5" t="n">
        <v>7485</v>
      </c>
      <c r="AC4" s="5" t="n">
        <v>7485</v>
      </c>
      <c r="AD4" s="5" t="n">
        <v>8504</v>
      </c>
      <c r="AE4" s="5" t="n">
        <v>8408</v>
      </c>
      <c r="AF4" s="5" t="n">
        <v>8312</v>
      </c>
      <c r="AG4" s="5" t="n">
        <v>8312</v>
      </c>
      <c r="AH4" s="5" t="n">
        <v>8600</v>
      </c>
      <c r="AI4" s="5" t="n">
        <v>7923</v>
      </c>
      <c r="AJ4" s="5" t="n">
        <v>7923</v>
      </c>
      <c r="AK4" s="5" t="n">
        <v>7921</v>
      </c>
      <c r="AL4" s="5" t="n">
        <v>7633</v>
      </c>
      <c r="AM4" s="5" t="n">
        <v>2213</v>
      </c>
      <c r="AN4" s="5" t="n">
        <v>2501</v>
      </c>
      <c r="AO4" s="5" t="n">
        <v>2884</v>
      </c>
      <c r="AP4" s="5" t="n">
        <v>2788</v>
      </c>
      <c r="AQ4" s="5" t="n">
        <v>6172</v>
      </c>
      <c r="AR4" s="5" t="n">
        <v>6172</v>
      </c>
      <c r="AS4" s="5" t="n">
        <v>6172</v>
      </c>
      <c r="AT4" s="5" t="n">
        <v>6076</v>
      </c>
      <c r="AU4" s="5" t="n">
        <v>672</v>
      </c>
      <c r="AV4" s="5" t="n">
        <v>672</v>
      </c>
      <c r="AW4" s="5" t="n">
        <v>576</v>
      </c>
      <c r="AX4" s="5" t="n">
        <v>480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96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>
        <f>SUM(B4:BL4)</f>
        <v/>
      </c>
    </row>
    <row r="5">
      <c r="A5" s="18" t="inlineStr">
        <is>
          <t>G463 Assembly</t>
        </is>
      </c>
      <c r="B5" s="5" t="n">
        <v>4672</v>
      </c>
      <c r="C5" s="5" t="n">
        <v>3767</v>
      </c>
      <c r="D5" s="5" t="n">
        <v>4677</v>
      </c>
      <c r="E5" s="5" t="n">
        <v>4847</v>
      </c>
      <c r="F5" s="5" t="n">
        <v>4602</v>
      </c>
      <c r="G5" s="5" t="n">
        <v>4987</v>
      </c>
      <c r="H5" s="5" t="n">
        <v>4485</v>
      </c>
      <c r="I5" s="5" t="n">
        <v>2699</v>
      </c>
      <c r="J5" s="5" t="n">
        <v>4433</v>
      </c>
      <c r="K5" s="5" t="n">
        <v>1813</v>
      </c>
      <c r="L5" s="5" t="n">
        <v>1337</v>
      </c>
      <c r="M5" s="5" t="n">
        <v>1854</v>
      </c>
      <c r="N5" s="5" t="n">
        <v>4675</v>
      </c>
      <c r="O5" s="5" t="n">
        <v>4682</v>
      </c>
      <c r="P5" s="5" t="n">
        <v>0</v>
      </c>
      <c r="Q5" s="5" t="n">
        <v>5123</v>
      </c>
      <c r="R5" s="5" t="n">
        <v>5012</v>
      </c>
      <c r="S5" s="5" t="n">
        <v>4890</v>
      </c>
      <c r="T5" s="5" t="n">
        <v>4762</v>
      </c>
      <c r="U5" s="5" t="n">
        <v>5486</v>
      </c>
      <c r="V5" s="5" t="n">
        <v>5353</v>
      </c>
      <c r="W5" s="5" t="n">
        <v>5264</v>
      </c>
      <c r="X5" s="5" t="n">
        <v>5148</v>
      </c>
      <c r="Y5" s="5" t="n">
        <v>5317</v>
      </c>
      <c r="Z5" s="5" t="n">
        <v>5182</v>
      </c>
      <c r="AA5" s="5" t="n">
        <v>5071</v>
      </c>
      <c r="AB5" s="5" t="n">
        <v>4982</v>
      </c>
      <c r="AC5" s="5" t="n">
        <v>3944</v>
      </c>
      <c r="AD5" s="5" t="n">
        <v>3784</v>
      </c>
      <c r="AE5" s="5" t="n">
        <v>3695</v>
      </c>
      <c r="AF5" s="5" t="n">
        <v>3600</v>
      </c>
      <c r="AG5" s="5" t="n">
        <v>0</v>
      </c>
      <c r="AH5" s="5" t="n">
        <v>5340</v>
      </c>
      <c r="AI5" s="5" t="n">
        <v>5181</v>
      </c>
      <c r="AJ5" s="5" t="n">
        <v>5073</v>
      </c>
      <c r="AK5" s="5" t="n">
        <v>4977</v>
      </c>
      <c r="AL5" s="5" t="n">
        <v>4080</v>
      </c>
      <c r="AM5" s="5" t="n">
        <v>3944</v>
      </c>
      <c r="AN5" s="5" t="n">
        <v>3841</v>
      </c>
      <c r="AO5" s="5" t="n">
        <v>3745</v>
      </c>
      <c r="AP5" s="5" t="n">
        <v>2670</v>
      </c>
      <c r="AQ5" s="5" t="n">
        <v>2575</v>
      </c>
      <c r="AR5" s="5" t="n">
        <v>2482</v>
      </c>
      <c r="AS5" s="5" t="n">
        <v>2409</v>
      </c>
      <c r="AT5" s="5" t="n">
        <v>0</v>
      </c>
      <c r="AU5" s="5" t="n">
        <v>1343</v>
      </c>
      <c r="AV5" s="5" t="n">
        <v>1323</v>
      </c>
      <c r="AW5" s="5" t="n">
        <v>1304</v>
      </c>
      <c r="AX5" s="5" t="n">
        <v>1281</v>
      </c>
      <c r="AY5" s="5" t="n">
        <v>1168</v>
      </c>
      <c r="AZ5" s="5" t="n">
        <v>1143</v>
      </c>
      <c r="BA5" s="5" t="n">
        <v>1121</v>
      </c>
      <c r="BB5" s="5" t="n">
        <v>1105</v>
      </c>
      <c r="BC5" s="5" t="n">
        <v>0</v>
      </c>
      <c r="BD5" s="5" t="n">
        <v>1273</v>
      </c>
      <c r="BE5" s="5" t="n">
        <v>1240</v>
      </c>
      <c r="BF5" s="5" t="n">
        <v>1222</v>
      </c>
      <c r="BG5" s="5" t="n">
        <v>1206</v>
      </c>
      <c r="BH5" s="5" t="n">
        <v>978</v>
      </c>
      <c r="BI5" s="5" t="n">
        <v>943</v>
      </c>
      <c r="BJ5" s="5" t="n">
        <v>923</v>
      </c>
      <c r="BK5" s="5" t="n">
        <v>908</v>
      </c>
      <c r="BL5" s="5" t="n">
        <v>1059</v>
      </c>
      <c r="BM5" s="5">
        <f>SUM(B5:BL5)</f>
        <v/>
      </c>
    </row>
    <row r="6">
      <c r="A6" s="18" t="inlineStr">
        <is>
          <t>IMM</t>
        </is>
      </c>
      <c r="B6" s="5" t="n">
        <v>0</v>
      </c>
      <c r="C6" s="5" t="n">
        <v>448</v>
      </c>
      <c r="D6" s="5" t="n">
        <v>1792</v>
      </c>
      <c r="E6" s="5" t="n">
        <v>1792</v>
      </c>
      <c r="F6" s="5" t="n">
        <v>1792</v>
      </c>
      <c r="G6" s="5" t="n">
        <v>1792</v>
      </c>
      <c r="H6" s="5" t="n">
        <v>1792</v>
      </c>
      <c r="I6" s="5" t="n">
        <v>1792</v>
      </c>
      <c r="J6" s="5" t="n">
        <v>1344</v>
      </c>
      <c r="K6" s="5" t="n">
        <v>0</v>
      </c>
      <c r="L6" s="5" t="n">
        <v>224</v>
      </c>
      <c r="M6" s="5" t="n">
        <v>1792</v>
      </c>
      <c r="N6" s="5" t="n">
        <v>1568</v>
      </c>
      <c r="O6" s="5" t="n">
        <v>1792</v>
      </c>
      <c r="P6" s="5" t="n">
        <v>1792</v>
      </c>
      <c r="Q6" s="5" t="n">
        <v>1568</v>
      </c>
      <c r="R6" s="5" t="n">
        <v>1792</v>
      </c>
      <c r="S6" s="5" t="n">
        <v>1568</v>
      </c>
      <c r="T6" s="5" t="n">
        <v>1792</v>
      </c>
      <c r="U6" s="5" t="n">
        <v>1792</v>
      </c>
      <c r="V6" s="5" t="n">
        <v>1568</v>
      </c>
      <c r="W6" s="5" t="n">
        <v>1568</v>
      </c>
      <c r="X6" s="5" t="n">
        <v>896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>
        <f>SUM(B6:BL6)</f>
        <v/>
      </c>
    </row>
    <row r="7">
      <c r="A7" s="18" t="inlineStr">
        <is>
          <t>OV51/64</t>
        </is>
      </c>
      <c r="B7" s="5" t="n">
        <v>1096</v>
      </c>
      <c r="C7" s="5" t="n">
        <v>464</v>
      </c>
      <c r="D7" s="5" t="n">
        <v>2072</v>
      </c>
      <c r="E7" s="5" t="n">
        <v>2088</v>
      </c>
      <c r="F7" s="5" t="n">
        <v>2128</v>
      </c>
      <c r="G7" s="5" t="n">
        <v>2104</v>
      </c>
      <c r="H7" s="5" t="n">
        <v>2408</v>
      </c>
      <c r="I7" s="5" t="n">
        <v>2040</v>
      </c>
      <c r="J7" s="5" t="n">
        <v>1864</v>
      </c>
      <c r="K7" s="5" t="n">
        <v>536</v>
      </c>
      <c r="L7" s="5" t="n">
        <v>424</v>
      </c>
      <c r="M7" s="5" t="n">
        <v>2032</v>
      </c>
      <c r="N7" s="5" t="n">
        <v>2072</v>
      </c>
      <c r="O7" s="5" t="n">
        <v>2056</v>
      </c>
      <c r="P7" s="5" t="n">
        <v>2344</v>
      </c>
      <c r="Q7" s="5" t="n">
        <v>2344</v>
      </c>
      <c r="R7" s="5" t="n">
        <v>2032</v>
      </c>
      <c r="S7" s="5" t="n">
        <v>2064</v>
      </c>
      <c r="T7" s="5" t="n">
        <v>2336</v>
      </c>
      <c r="U7" s="5" t="n">
        <v>2024</v>
      </c>
      <c r="V7" s="5" t="n">
        <v>2368</v>
      </c>
      <c r="W7" s="5" t="n">
        <v>2064</v>
      </c>
      <c r="X7" s="5" t="n">
        <v>1352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>
        <f>SUM(B7:BL7)</f>
        <v/>
      </c>
    </row>
    <row r="8">
      <c r="A8" s="18" t="inlineStr">
        <is>
          <t>GB/DP</t>
        </is>
      </c>
      <c r="B8" s="5" t="n">
        <v>3704</v>
      </c>
      <c r="C8" s="5" t="n">
        <v>2007</v>
      </c>
      <c r="D8" s="5" t="n">
        <v>1441</v>
      </c>
      <c r="E8" s="5" t="n">
        <v>1469</v>
      </c>
      <c r="F8" s="5" t="n">
        <v>1666</v>
      </c>
      <c r="G8" s="5" t="n">
        <v>1580</v>
      </c>
      <c r="H8" s="5" t="n">
        <v>1720</v>
      </c>
      <c r="I8" s="5" t="n">
        <v>1956</v>
      </c>
      <c r="J8" s="5" t="n">
        <v>1814</v>
      </c>
      <c r="K8" s="5" t="n">
        <v>30</v>
      </c>
      <c r="L8" s="5" t="n">
        <v>54</v>
      </c>
      <c r="M8" s="5" t="n">
        <v>495</v>
      </c>
      <c r="N8" s="5" t="n">
        <v>1610</v>
      </c>
      <c r="O8" s="5" t="n">
        <v>1641</v>
      </c>
      <c r="P8" s="5" t="n">
        <v>1660</v>
      </c>
      <c r="Q8" s="5" t="n">
        <v>1766</v>
      </c>
      <c r="R8" s="5" t="n">
        <v>1780</v>
      </c>
      <c r="S8" s="5" t="n">
        <v>1762</v>
      </c>
      <c r="T8" s="5" t="n">
        <v>1766</v>
      </c>
      <c r="U8" s="5" t="n">
        <v>1677</v>
      </c>
      <c r="V8" s="5" t="n">
        <v>1766</v>
      </c>
      <c r="W8" s="5" t="n">
        <v>1795</v>
      </c>
      <c r="X8" s="5" t="n">
        <v>1706</v>
      </c>
      <c r="Y8" s="5" t="n">
        <v>1793</v>
      </c>
      <c r="Z8" s="5" t="n">
        <v>1785</v>
      </c>
      <c r="AA8" s="5" t="n">
        <v>1729</v>
      </c>
      <c r="AB8" s="5" t="n">
        <v>1728</v>
      </c>
      <c r="AC8" s="5" t="n">
        <v>1451</v>
      </c>
      <c r="AD8" s="5" t="n">
        <v>1451</v>
      </c>
      <c r="AE8" s="5" t="n">
        <v>1450</v>
      </c>
      <c r="AF8" s="5" t="n">
        <v>1449</v>
      </c>
      <c r="AG8" s="5" t="n">
        <v>53</v>
      </c>
      <c r="AH8" s="5" t="n">
        <v>1646</v>
      </c>
      <c r="AI8" s="5" t="n">
        <v>1646</v>
      </c>
      <c r="AJ8" s="5" t="n">
        <v>1658</v>
      </c>
      <c r="AK8" s="5" t="n">
        <v>1644</v>
      </c>
      <c r="AL8" s="5" t="n">
        <v>1735</v>
      </c>
      <c r="AM8" s="5" t="n">
        <v>1689</v>
      </c>
      <c r="AN8" s="5" t="n">
        <v>1685</v>
      </c>
      <c r="AO8" s="5" t="n">
        <v>1736</v>
      </c>
      <c r="AP8" s="5" t="n">
        <v>1607</v>
      </c>
      <c r="AQ8" s="5" t="n">
        <v>1651</v>
      </c>
      <c r="AR8" s="5" t="n">
        <v>1603</v>
      </c>
      <c r="AS8" s="5" t="n">
        <v>1607</v>
      </c>
      <c r="AT8" s="5" t="n">
        <v>0</v>
      </c>
      <c r="AU8" s="5" t="n">
        <v>1593</v>
      </c>
      <c r="AV8" s="5" t="n">
        <v>1591</v>
      </c>
      <c r="AW8" s="5" t="n">
        <v>1653</v>
      </c>
      <c r="AX8" s="5" t="n">
        <v>1590</v>
      </c>
      <c r="AY8" s="5" t="n">
        <v>53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>
        <f>SUM(B8:BL8)</f>
        <v/>
      </c>
    </row>
    <row r="9">
      <c r="A9" s="18" t="inlineStr">
        <is>
          <t>SK336/W206</t>
        </is>
      </c>
      <c r="B9" s="5" t="n">
        <v>1200</v>
      </c>
      <c r="C9" s="5" t="n">
        <v>2336</v>
      </c>
      <c r="D9" s="5" t="n">
        <v>3199</v>
      </c>
      <c r="E9" s="5" t="n">
        <v>3107</v>
      </c>
      <c r="F9" s="5" t="n">
        <v>2114</v>
      </c>
      <c r="G9" s="5" t="n">
        <v>3100</v>
      </c>
      <c r="H9" s="5" t="n">
        <v>3246</v>
      </c>
      <c r="I9" s="5" t="n">
        <v>3264</v>
      </c>
      <c r="J9" s="5" t="n">
        <v>2999</v>
      </c>
      <c r="K9" s="5" t="n">
        <v>860</v>
      </c>
      <c r="L9" s="5" t="n">
        <v>0</v>
      </c>
      <c r="M9" s="5" t="n">
        <v>2717</v>
      </c>
      <c r="N9" s="5" t="n">
        <v>2963</v>
      </c>
      <c r="O9" s="5" t="n">
        <v>2997</v>
      </c>
      <c r="P9" s="5" t="n">
        <v>2957</v>
      </c>
      <c r="Q9" s="5" t="n">
        <v>2939</v>
      </c>
      <c r="R9" s="5" t="n">
        <v>2917</v>
      </c>
      <c r="S9" s="5" t="n">
        <v>2965</v>
      </c>
      <c r="T9" s="5" t="n">
        <v>2938</v>
      </c>
      <c r="U9" s="5" t="n">
        <v>2879</v>
      </c>
      <c r="V9" s="5" t="n">
        <v>2857</v>
      </c>
      <c r="W9" s="5" t="n">
        <v>2710</v>
      </c>
      <c r="X9" s="5" t="n">
        <v>2071</v>
      </c>
      <c r="Y9" s="5" t="n">
        <v>2490</v>
      </c>
      <c r="Z9" s="5" t="n">
        <v>10100</v>
      </c>
      <c r="AA9" s="5" t="n">
        <v>295</v>
      </c>
      <c r="AB9" s="5" t="n">
        <v>317</v>
      </c>
      <c r="AC9" s="5" t="n">
        <v>312</v>
      </c>
      <c r="AD9" s="5" t="n">
        <v>10221</v>
      </c>
      <c r="AE9" s="5" t="n">
        <v>307</v>
      </c>
      <c r="AF9" s="5" t="n">
        <v>315</v>
      </c>
      <c r="AG9" s="5" t="n">
        <v>42</v>
      </c>
      <c r="AH9" s="5" t="n">
        <v>12858</v>
      </c>
      <c r="AI9" s="5" t="n">
        <v>288</v>
      </c>
      <c r="AJ9" s="5" t="n">
        <v>310</v>
      </c>
      <c r="AK9" s="5" t="n">
        <v>291</v>
      </c>
      <c r="AL9" s="5" t="n">
        <v>367</v>
      </c>
      <c r="AM9" s="5" t="n">
        <v>6444</v>
      </c>
      <c r="AN9" s="5" t="n">
        <v>321</v>
      </c>
      <c r="AO9" s="5" t="n">
        <v>331</v>
      </c>
      <c r="AP9" s="5" t="n">
        <v>277</v>
      </c>
      <c r="AQ9" s="5" t="n">
        <v>7883</v>
      </c>
      <c r="AR9" s="5" t="n">
        <v>312</v>
      </c>
      <c r="AS9" s="5" t="n">
        <v>265</v>
      </c>
      <c r="AT9" s="5" t="n">
        <v>0</v>
      </c>
      <c r="AU9" s="5" t="n">
        <v>12366</v>
      </c>
      <c r="AV9" s="5" t="n">
        <v>274</v>
      </c>
      <c r="AW9" s="5" t="n">
        <v>268</v>
      </c>
      <c r="AX9" s="5" t="n">
        <v>269</v>
      </c>
      <c r="AY9" s="5" t="n">
        <v>375</v>
      </c>
      <c r="AZ9" s="5" t="n">
        <v>277</v>
      </c>
      <c r="BA9" s="5" t="n">
        <v>274</v>
      </c>
      <c r="BB9" s="5" t="n">
        <v>270</v>
      </c>
      <c r="BC9" s="5" t="n">
        <v>0</v>
      </c>
      <c r="BD9" s="5" t="n">
        <v>257</v>
      </c>
      <c r="BE9" s="5" t="n">
        <v>257</v>
      </c>
      <c r="BF9" s="5" t="n">
        <v>254</v>
      </c>
      <c r="BG9" s="5" t="n">
        <v>252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>
        <f>SUM(B9:BL9)</f>
        <v/>
      </c>
    </row>
    <row r="10">
      <c r="A10" s="18" t="inlineStr">
        <is>
          <t>MBEAM</t>
        </is>
      </c>
      <c r="B10" s="5" t="n">
        <v>3511</v>
      </c>
      <c r="C10" s="5" t="n">
        <v>3762</v>
      </c>
      <c r="D10" s="5" t="n">
        <v>3191</v>
      </c>
      <c r="E10" s="5" t="n">
        <v>3656</v>
      </c>
      <c r="F10" s="5" t="n">
        <v>4102</v>
      </c>
      <c r="G10" s="5" t="n">
        <v>3325</v>
      </c>
      <c r="H10" s="5" t="n">
        <v>4220</v>
      </c>
      <c r="I10" s="5" t="n">
        <v>4337</v>
      </c>
      <c r="J10" s="5" t="n">
        <v>3827</v>
      </c>
      <c r="K10" s="5" t="n">
        <v>1336</v>
      </c>
      <c r="L10" s="5" t="n">
        <v>0</v>
      </c>
      <c r="M10" s="5" t="n">
        <v>2017</v>
      </c>
      <c r="N10" s="5" t="n">
        <v>2485</v>
      </c>
      <c r="O10" s="5" t="n">
        <v>3300</v>
      </c>
      <c r="P10" s="5" t="n">
        <v>3016</v>
      </c>
      <c r="Q10" s="5" t="n">
        <v>3628</v>
      </c>
      <c r="R10" s="5" t="n">
        <v>3934</v>
      </c>
      <c r="S10" s="5" t="n">
        <v>3834</v>
      </c>
      <c r="T10" s="5" t="n">
        <v>3328</v>
      </c>
      <c r="U10" s="5" t="n">
        <v>4033</v>
      </c>
      <c r="V10" s="5" t="n">
        <v>4007</v>
      </c>
      <c r="W10" s="5" t="n">
        <v>4005</v>
      </c>
      <c r="X10" s="5" t="n">
        <v>3920</v>
      </c>
      <c r="Y10" s="5" t="n">
        <v>4333</v>
      </c>
      <c r="Z10" s="5" t="n">
        <v>4310</v>
      </c>
      <c r="AA10" s="5" t="n">
        <v>4280</v>
      </c>
      <c r="AB10" s="5" t="n">
        <v>4250</v>
      </c>
      <c r="AC10" s="5" t="n">
        <v>3735</v>
      </c>
      <c r="AD10" s="5" t="n">
        <v>3697</v>
      </c>
      <c r="AE10" s="5" t="n">
        <v>3659</v>
      </c>
      <c r="AF10" s="5" t="n">
        <v>3652</v>
      </c>
      <c r="AG10" s="5" t="n">
        <v>72</v>
      </c>
      <c r="AH10" s="5" t="n">
        <v>4361</v>
      </c>
      <c r="AI10" s="5" t="n">
        <v>4348</v>
      </c>
      <c r="AJ10" s="5" t="n">
        <v>4323</v>
      </c>
      <c r="AK10" s="5" t="n">
        <v>4295</v>
      </c>
      <c r="AL10" s="5" t="n">
        <v>3635</v>
      </c>
      <c r="AM10" s="5" t="n">
        <v>3621</v>
      </c>
      <c r="AN10" s="5" t="n">
        <v>3575</v>
      </c>
      <c r="AO10" s="5" t="n">
        <v>3578</v>
      </c>
      <c r="AP10" s="5" t="n">
        <v>3076</v>
      </c>
      <c r="AQ10" s="5" t="n">
        <v>3025</v>
      </c>
      <c r="AR10" s="5" t="n">
        <v>3530</v>
      </c>
      <c r="AS10" s="5" t="n">
        <v>2970</v>
      </c>
      <c r="AT10" s="5" t="n">
        <v>0</v>
      </c>
      <c r="AU10" s="5" t="n">
        <v>3155</v>
      </c>
      <c r="AV10" s="5" t="n">
        <v>3119</v>
      </c>
      <c r="AW10" s="5" t="n">
        <v>3077</v>
      </c>
      <c r="AX10" s="5" t="n">
        <v>3051</v>
      </c>
      <c r="AY10" s="5" t="n">
        <v>3645</v>
      </c>
      <c r="AZ10" s="5" t="n">
        <v>3610</v>
      </c>
      <c r="BA10" s="5" t="n">
        <v>3573</v>
      </c>
      <c r="BB10" s="5" t="n">
        <v>3543</v>
      </c>
      <c r="BC10" s="5" t="n">
        <v>0</v>
      </c>
      <c r="BD10" s="5" t="n">
        <v>4136</v>
      </c>
      <c r="BE10" s="5" t="n">
        <v>4100</v>
      </c>
      <c r="BF10" s="5" t="n">
        <v>4066</v>
      </c>
      <c r="BG10" s="5" t="n">
        <v>4040</v>
      </c>
      <c r="BH10" s="5" t="n">
        <v>2709</v>
      </c>
      <c r="BI10" s="5" t="n">
        <v>2677</v>
      </c>
      <c r="BJ10" s="5" t="n">
        <v>2645</v>
      </c>
      <c r="BK10" s="5" t="n">
        <v>2607</v>
      </c>
      <c r="BL10" s="5" t="n">
        <v>2587</v>
      </c>
      <c r="BM10" s="5">
        <f>SUM(B10:BL10)</f>
        <v/>
      </c>
    </row>
    <row r="11">
      <c r="A11" s="18" t="inlineStr">
        <is>
          <t>W177/W247 IP</t>
        </is>
      </c>
      <c r="B11" s="5" t="n">
        <v>3652</v>
      </c>
      <c r="C11" s="5" t="n">
        <v>2006</v>
      </c>
      <c r="D11" s="5" t="n">
        <v>1386</v>
      </c>
      <c r="E11" s="5" t="n">
        <v>1482</v>
      </c>
      <c r="F11" s="5" t="n">
        <v>1661</v>
      </c>
      <c r="G11" s="5" t="n">
        <v>1566</v>
      </c>
      <c r="H11" s="5" t="n">
        <v>1657</v>
      </c>
      <c r="I11" s="5" t="n">
        <v>1824</v>
      </c>
      <c r="J11" s="5" t="n">
        <v>1537</v>
      </c>
      <c r="K11" s="5" t="n">
        <v>19</v>
      </c>
      <c r="L11" s="5" t="n">
        <v>25</v>
      </c>
      <c r="M11" s="5" t="n">
        <v>357</v>
      </c>
      <c r="N11" s="5" t="n">
        <v>1403</v>
      </c>
      <c r="O11" s="5" t="n">
        <v>1407</v>
      </c>
      <c r="P11" s="5" t="n">
        <v>1388</v>
      </c>
      <c r="Q11" s="5" t="n">
        <v>1526</v>
      </c>
      <c r="R11" s="5" t="n">
        <v>1521</v>
      </c>
      <c r="S11" s="5" t="n">
        <v>1537</v>
      </c>
      <c r="T11" s="5" t="n">
        <v>1549</v>
      </c>
      <c r="U11" s="5" t="n">
        <v>1532</v>
      </c>
      <c r="V11" s="5" t="n">
        <v>1540</v>
      </c>
      <c r="W11" s="5" t="n">
        <v>1571</v>
      </c>
      <c r="X11" s="5" t="n">
        <v>1521</v>
      </c>
      <c r="Y11" s="5" t="n">
        <v>1742</v>
      </c>
      <c r="Z11" s="5" t="n">
        <v>1735</v>
      </c>
      <c r="AA11" s="5" t="n">
        <v>1728</v>
      </c>
      <c r="AB11" s="5" t="n">
        <v>1734</v>
      </c>
      <c r="AC11" s="5" t="n">
        <v>1476</v>
      </c>
      <c r="AD11" s="5" t="n">
        <v>1451</v>
      </c>
      <c r="AE11" s="5" t="n">
        <v>1451</v>
      </c>
      <c r="AF11" s="5" t="n">
        <v>1448</v>
      </c>
      <c r="AG11" s="5" t="n">
        <v>0</v>
      </c>
      <c r="AH11" s="5" t="n">
        <v>1664</v>
      </c>
      <c r="AI11" s="5" t="n">
        <v>1669</v>
      </c>
      <c r="AJ11" s="5" t="n">
        <v>1653</v>
      </c>
      <c r="AK11" s="5" t="n">
        <v>1650</v>
      </c>
      <c r="AL11" s="5" t="n">
        <v>1724</v>
      </c>
      <c r="AM11" s="5" t="n">
        <v>1690</v>
      </c>
      <c r="AN11" s="5" t="n">
        <v>1689</v>
      </c>
      <c r="AO11" s="5" t="n">
        <v>1681</v>
      </c>
      <c r="AP11" s="5" t="n">
        <v>1608</v>
      </c>
      <c r="AQ11" s="5" t="n">
        <v>1605</v>
      </c>
      <c r="AR11" s="5" t="n">
        <v>1603</v>
      </c>
      <c r="AS11" s="5" t="n">
        <v>1635</v>
      </c>
      <c r="AT11" s="5" t="n">
        <v>3</v>
      </c>
      <c r="AU11" s="5" t="n">
        <v>1605</v>
      </c>
      <c r="AV11" s="5" t="n">
        <v>1593</v>
      </c>
      <c r="AW11" s="5" t="n">
        <v>1585</v>
      </c>
      <c r="AX11" s="5" t="n">
        <v>1587</v>
      </c>
      <c r="AY11" s="5" t="n">
        <v>31</v>
      </c>
      <c r="AZ11" s="5" t="n">
        <v>2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>
        <f>SUM(B11:BL11)</f>
        <v/>
      </c>
    </row>
    <row r="12">
      <c r="A12" s="18" t="inlineStr">
        <is>
          <t>W177 DP</t>
        </is>
      </c>
      <c r="B12" s="5" t="n">
        <v>201</v>
      </c>
      <c r="C12" s="5" t="n">
        <v>465</v>
      </c>
      <c r="D12" s="5" t="n">
        <v>355</v>
      </c>
      <c r="E12" s="5" t="n">
        <v>204</v>
      </c>
      <c r="F12" s="5" t="n">
        <v>397</v>
      </c>
      <c r="G12" s="5" t="n">
        <v>211</v>
      </c>
      <c r="H12" s="5" t="n">
        <v>360</v>
      </c>
      <c r="I12" s="5" t="n">
        <v>404</v>
      </c>
      <c r="J12" s="5" t="n">
        <v>337</v>
      </c>
      <c r="K12" s="5" t="n">
        <v>0</v>
      </c>
      <c r="L12" s="5" t="n">
        <v>0</v>
      </c>
      <c r="M12" s="5" t="n">
        <v>57</v>
      </c>
      <c r="N12" s="5" t="n">
        <v>191</v>
      </c>
      <c r="O12" s="5" t="n">
        <v>352</v>
      </c>
      <c r="P12" s="5" t="n">
        <v>300</v>
      </c>
      <c r="Q12" s="5" t="n">
        <v>356</v>
      </c>
      <c r="R12" s="5" t="n">
        <v>437</v>
      </c>
      <c r="S12" s="5" t="n">
        <v>429</v>
      </c>
      <c r="T12" s="5" t="n">
        <v>483</v>
      </c>
      <c r="U12" s="5" t="n">
        <v>435</v>
      </c>
      <c r="V12" s="5" t="n">
        <v>433</v>
      </c>
      <c r="W12" s="5" t="n">
        <v>432</v>
      </c>
      <c r="X12" s="5" t="n">
        <v>430</v>
      </c>
      <c r="Y12" s="5" t="n">
        <v>484</v>
      </c>
      <c r="Z12" s="5" t="n">
        <v>481</v>
      </c>
      <c r="AA12" s="5" t="n">
        <v>479</v>
      </c>
      <c r="AB12" s="5" t="n">
        <v>478</v>
      </c>
      <c r="AC12" s="5" t="n">
        <v>366</v>
      </c>
      <c r="AD12" s="5" t="n">
        <v>364</v>
      </c>
      <c r="AE12" s="5" t="n">
        <v>364</v>
      </c>
      <c r="AF12" s="5" t="n">
        <v>363</v>
      </c>
      <c r="AG12" s="5" t="n">
        <v>0</v>
      </c>
      <c r="AH12" s="5" t="n">
        <v>467</v>
      </c>
      <c r="AI12" s="5" t="n">
        <v>466</v>
      </c>
      <c r="AJ12" s="5" t="n">
        <v>463</v>
      </c>
      <c r="AK12" s="5" t="n">
        <v>463</v>
      </c>
      <c r="AL12" s="5" t="n">
        <v>362</v>
      </c>
      <c r="AM12" s="5" t="n">
        <v>358</v>
      </c>
      <c r="AN12" s="5" t="n">
        <v>358</v>
      </c>
      <c r="AO12" s="5" t="n">
        <v>356</v>
      </c>
      <c r="AP12" s="5" t="n">
        <v>369</v>
      </c>
      <c r="AQ12" s="5" t="n">
        <v>369</v>
      </c>
      <c r="AR12" s="5" t="n">
        <v>367</v>
      </c>
      <c r="AS12" s="5" t="n">
        <v>364</v>
      </c>
      <c r="AT12" s="5" t="n">
        <v>0</v>
      </c>
      <c r="AU12" s="5" t="n">
        <v>130</v>
      </c>
      <c r="AV12" s="5" t="n">
        <v>128</v>
      </c>
      <c r="AW12" s="5" t="n">
        <v>126</v>
      </c>
      <c r="AX12" s="5" t="n">
        <v>125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>
        <f>SUM(B12:BL12)</f>
        <v/>
      </c>
    </row>
    <row r="13">
      <c r="A13" s="18" t="inlineStr">
        <is>
          <t>PO455</t>
        </is>
      </c>
      <c r="B13" s="5" t="n">
        <v>4</v>
      </c>
      <c r="C13" s="5" t="n">
        <v>3</v>
      </c>
      <c r="D13" s="5" t="n">
        <v>3</v>
      </c>
      <c r="E13" s="5" t="n">
        <v>12</v>
      </c>
      <c r="F13" s="5" t="n">
        <v>30</v>
      </c>
      <c r="G13" s="5" t="n">
        <v>6</v>
      </c>
      <c r="H13" s="5" t="n">
        <v>8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17</v>
      </c>
      <c r="O13" s="5" t="n">
        <v>26</v>
      </c>
      <c r="P13" s="5" t="n">
        <v>51</v>
      </c>
      <c r="Q13" s="5" t="n">
        <v>30</v>
      </c>
      <c r="R13" s="5" t="n">
        <v>0</v>
      </c>
      <c r="S13" s="5" t="n">
        <v>8</v>
      </c>
      <c r="T13" s="5" t="n">
        <v>4</v>
      </c>
      <c r="U13" s="5" t="n">
        <v>12</v>
      </c>
      <c r="V13" s="5" t="n">
        <v>14</v>
      </c>
      <c r="W13" s="5" t="n">
        <v>18</v>
      </c>
      <c r="X13" s="5" t="n">
        <v>17</v>
      </c>
      <c r="Y13" s="5" t="n">
        <v>17</v>
      </c>
      <c r="Z13" s="5" t="n">
        <v>32</v>
      </c>
      <c r="AA13" s="5" t="n">
        <v>53</v>
      </c>
      <c r="AB13" s="5" t="n">
        <v>34</v>
      </c>
      <c r="AC13" s="5" t="n">
        <v>59</v>
      </c>
      <c r="AD13" s="5" t="n">
        <v>53</v>
      </c>
      <c r="AE13" s="5" t="n">
        <v>107</v>
      </c>
      <c r="AF13" s="5" t="n">
        <v>0</v>
      </c>
      <c r="AG13" s="5" t="n">
        <v>58</v>
      </c>
      <c r="AH13" s="5" t="n">
        <v>92</v>
      </c>
      <c r="AI13" s="5" t="n">
        <v>97</v>
      </c>
      <c r="AJ13" s="5" t="n">
        <v>92</v>
      </c>
      <c r="AK13" s="5" t="n">
        <v>90</v>
      </c>
      <c r="AL13" s="5" t="n">
        <v>116</v>
      </c>
      <c r="AM13" s="5" t="n">
        <v>129</v>
      </c>
      <c r="AN13" s="5" t="n">
        <v>133</v>
      </c>
      <c r="AO13" s="5" t="n">
        <v>141</v>
      </c>
      <c r="AP13" s="5" t="n">
        <v>151</v>
      </c>
      <c r="AQ13" s="5" t="n">
        <v>0</v>
      </c>
      <c r="AR13" s="5" t="n">
        <v>0</v>
      </c>
      <c r="AS13" s="5" t="n">
        <v>0</v>
      </c>
      <c r="AT13" s="5" t="n">
        <v>155</v>
      </c>
      <c r="AU13" s="5" t="n">
        <v>178</v>
      </c>
      <c r="AV13" s="5" t="n">
        <v>190</v>
      </c>
      <c r="AW13" s="5" t="n">
        <v>206</v>
      </c>
      <c r="AX13" s="5" t="n">
        <v>217</v>
      </c>
      <c r="AY13" s="5" t="n">
        <v>230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>
        <f>SUM(B13:BL13)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</cols>
  <sheetData>
    <row r="1">
      <c r="A1" s="1" t="inlineStr">
        <is>
          <t>Potřeba DL podle volume (počítá se po doplnění norem)</t>
        </is>
      </c>
    </row>
    <row r="2">
      <c r="A2" s="2" t="inlineStr">
        <is>
          <t>Směny = ROUNDUP(volume / (norma × OEE)). FTE = směny × OP × 8 h / (h na FTE × (1 − absence)). Červeně = víc směn, než linka může jet.</t>
        </is>
      </c>
    </row>
    <row r="3">
      <c r="A3" s="21" t="inlineStr">
        <is>
          <t>Skutečnost FTE = Normy!G (lidí za den) × 5 dní × 8 h přepočteno stejně jako potřeba. Jen orientačně – 12h směny podhodnotí; později nahradit Summary PLANA1.</t>
        </is>
      </c>
    </row>
    <row r="4">
      <c r="A4" s="16" t="inlineStr">
        <is>
          <t>Linka</t>
        </is>
      </c>
      <c r="B4" s="16" t="inlineStr">
        <is>
          <t>Ukazatel</t>
        </is>
      </c>
      <c r="C4" s="16" t="inlineStr">
        <is>
          <t>CW 43</t>
        </is>
      </c>
      <c r="D4" s="16" t="inlineStr">
        <is>
          <t>CW 44</t>
        </is>
      </c>
      <c r="E4" s="16" t="inlineStr">
        <is>
          <t>CW 45</t>
        </is>
      </c>
      <c r="F4" s="16" t="inlineStr">
        <is>
          <t>CW 46</t>
        </is>
      </c>
      <c r="G4" s="16" t="inlineStr">
        <is>
          <t>CW 47</t>
        </is>
      </c>
      <c r="H4" s="16" t="inlineStr">
        <is>
          <t>CW 48</t>
        </is>
      </c>
      <c r="I4" s="16" t="inlineStr">
        <is>
          <t>CW 49</t>
        </is>
      </c>
      <c r="J4" s="16" t="inlineStr">
        <is>
          <t>CW 50</t>
        </is>
      </c>
      <c r="K4" s="16" t="inlineStr">
        <is>
          <t>CW 51</t>
        </is>
      </c>
      <c r="L4" s="16" t="inlineStr">
        <is>
          <t>CW 52</t>
        </is>
      </c>
      <c r="M4" s="16" t="inlineStr">
        <is>
          <t>CW 53</t>
        </is>
      </c>
      <c r="N4" s="16" t="inlineStr">
        <is>
          <t>CW 1/2027</t>
        </is>
      </c>
      <c r="O4" s="16" t="inlineStr">
        <is>
          <t>CW 2/2027</t>
        </is>
      </c>
      <c r="P4" s="16" t="inlineStr">
        <is>
          <t>CW 3/2027</t>
        </is>
      </c>
      <c r="Q4" s="16" t="inlineStr">
        <is>
          <t>CW 4/2027</t>
        </is>
      </c>
      <c r="R4" s="16" t="inlineStr">
        <is>
          <t>CW 5/2027</t>
        </is>
      </c>
      <c r="S4" s="16" t="inlineStr">
        <is>
          <t>CW 6/2027</t>
        </is>
      </c>
      <c r="T4" s="16" t="inlineStr">
        <is>
          <t>CW 7/2027</t>
        </is>
      </c>
      <c r="U4" s="16" t="inlineStr">
        <is>
          <t>CW 8/2027</t>
        </is>
      </c>
      <c r="V4" s="16" t="inlineStr">
        <is>
          <t>CW 9/2027</t>
        </is>
      </c>
      <c r="W4" s="16" t="inlineStr">
        <is>
          <t>CW 10/2027</t>
        </is>
      </c>
      <c r="X4" s="16" t="inlineStr">
        <is>
          <t>CW 11/2027</t>
        </is>
      </c>
      <c r="Y4" s="16" t="inlineStr">
        <is>
          <t>CW 12/2027</t>
        </is>
      </c>
      <c r="Z4" s="16" t="inlineStr">
        <is>
          <t>CW 13/2027</t>
        </is>
      </c>
      <c r="AA4" s="16" t="inlineStr">
        <is>
          <t>CW 14/2027</t>
        </is>
      </c>
      <c r="AB4" s="16" t="inlineStr">
        <is>
          <t>CW 15/2027</t>
        </is>
      </c>
      <c r="AC4" s="16" t="inlineStr">
        <is>
          <t>CW 16/2027</t>
        </is>
      </c>
      <c r="AD4" s="16" t="inlineStr">
        <is>
          <t>CW 17/2027</t>
        </is>
      </c>
      <c r="AE4" s="16" t="inlineStr">
        <is>
          <t>CW 18/2027</t>
        </is>
      </c>
      <c r="AF4" s="16" t="inlineStr">
        <is>
          <t>CW 19/2027</t>
        </is>
      </c>
      <c r="AG4" s="16" t="inlineStr">
        <is>
          <t>CW 20/2027</t>
        </is>
      </c>
      <c r="AH4" s="16" t="inlineStr">
        <is>
          <t>CW 21/2027</t>
        </is>
      </c>
      <c r="AI4" s="16" t="inlineStr">
        <is>
          <t>CW 22/2027</t>
        </is>
      </c>
      <c r="AJ4" s="16" t="inlineStr">
        <is>
          <t>CW 23/2027</t>
        </is>
      </c>
      <c r="AK4" s="16" t="inlineStr">
        <is>
          <t>CW 24/2027</t>
        </is>
      </c>
      <c r="AL4" s="16" t="inlineStr">
        <is>
          <t>CW 25/2027</t>
        </is>
      </c>
      <c r="AM4" s="16" t="inlineStr">
        <is>
          <t>CW 26/2027</t>
        </is>
      </c>
      <c r="AN4" s="16" t="inlineStr">
        <is>
          <t>CW 27/2027</t>
        </is>
      </c>
      <c r="AO4" s="16" t="inlineStr">
        <is>
          <t>CW 28/2027</t>
        </is>
      </c>
      <c r="AP4" s="16" t="inlineStr">
        <is>
          <t>CW 29/2027</t>
        </is>
      </c>
      <c r="AQ4" s="16" t="inlineStr">
        <is>
          <t>CW 30/2027</t>
        </is>
      </c>
      <c r="AR4" s="16" t="inlineStr">
        <is>
          <t>CW 31/2027</t>
        </is>
      </c>
      <c r="AS4" s="16" t="inlineStr">
        <is>
          <t>CW 32/2027</t>
        </is>
      </c>
      <c r="AT4" s="16" t="inlineStr">
        <is>
          <t>CW 33/2027</t>
        </is>
      </c>
      <c r="AU4" s="16" t="inlineStr">
        <is>
          <t>CW 34/2027</t>
        </is>
      </c>
      <c r="AV4" s="16" t="inlineStr">
        <is>
          <t>CW 35/2027</t>
        </is>
      </c>
      <c r="AW4" s="16" t="inlineStr">
        <is>
          <t>CW 36/2027</t>
        </is>
      </c>
      <c r="AX4" s="16" t="inlineStr">
        <is>
          <t>CW 37/2027</t>
        </is>
      </c>
      <c r="AY4" s="16" t="inlineStr">
        <is>
          <t>CW 38/2027</t>
        </is>
      </c>
      <c r="AZ4" s="16" t="inlineStr">
        <is>
          <t>CW 39/2027</t>
        </is>
      </c>
      <c r="BA4" s="16" t="inlineStr">
        <is>
          <t>CW 40/2027</t>
        </is>
      </c>
      <c r="BB4" s="16" t="inlineStr">
        <is>
          <t>CW 41/2027</t>
        </is>
      </c>
      <c r="BC4" s="16" t="inlineStr">
        <is>
          <t>CW 42/2027</t>
        </is>
      </c>
      <c r="BD4" s="16" t="inlineStr">
        <is>
          <t>CW 43/2027</t>
        </is>
      </c>
      <c r="BE4" s="16" t="inlineStr">
        <is>
          <t>CW 44/2027</t>
        </is>
      </c>
      <c r="BF4" s="16" t="inlineStr">
        <is>
          <t>CW 45/2027</t>
        </is>
      </c>
      <c r="BG4" s="16" t="inlineStr">
        <is>
          <t>CW 46/2027</t>
        </is>
      </c>
      <c r="BH4" s="16" t="inlineStr">
        <is>
          <t>CW 47/2027</t>
        </is>
      </c>
      <c r="BI4" s="16" t="inlineStr">
        <is>
          <t>CW 48/2027</t>
        </is>
      </c>
      <c r="BJ4" s="16" t="inlineStr">
        <is>
          <t>CW 49/2027</t>
        </is>
      </c>
      <c r="BK4" s="16" t="inlineStr">
        <is>
          <t>CW 50/2027</t>
        </is>
      </c>
      <c r="BL4" s="16" t="inlineStr">
        <is>
          <t>CW 51/2027</t>
        </is>
      </c>
      <c r="BM4" s="16" t="inlineStr">
        <is>
          <t>CW 52/2027</t>
        </is>
      </c>
    </row>
    <row r="5">
      <c r="A5" s="18" t="inlineStr">
        <is>
          <t>Slush</t>
        </is>
      </c>
      <c r="B5" s="4" t="inlineStr">
        <is>
          <t>Potřebné směny (8h)</t>
        </is>
      </c>
      <c r="C5" s="4">
        <f>IF(OR(Normy!$C$5="",'Volume po lince'!B4=0),"",ROUNDUP('Volume po lince'!B4/(Normy!$C$5*IF(Normy!$D$5="",Parametry!$B$7,Normy!$D$5)),0))</f>
        <v/>
      </c>
      <c r="D5" s="4">
        <f>IF(OR(Normy!$C$5="",'Volume po lince'!C4=0),"",ROUNDUP('Volume po lince'!C4/(Normy!$C$5*IF(Normy!$D$5="",Parametry!$B$7,Normy!$D$5)),0))</f>
        <v/>
      </c>
      <c r="E5" s="4">
        <f>IF(OR(Normy!$C$5="",'Volume po lince'!D4=0),"",ROUNDUP('Volume po lince'!D4/(Normy!$C$5*IF(Normy!$D$5="",Parametry!$B$7,Normy!$D$5)),0))</f>
        <v/>
      </c>
      <c r="F5" s="4">
        <f>IF(OR(Normy!$C$5="",'Volume po lince'!E4=0),"",ROUNDUP('Volume po lince'!E4/(Normy!$C$5*IF(Normy!$D$5="",Parametry!$B$7,Normy!$D$5)),0))</f>
        <v/>
      </c>
      <c r="G5" s="4">
        <f>IF(OR(Normy!$C$5="",'Volume po lince'!F4=0),"",ROUNDUP('Volume po lince'!F4/(Normy!$C$5*IF(Normy!$D$5="",Parametry!$B$7,Normy!$D$5)),0))</f>
        <v/>
      </c>
      <c r="H5" s="4">
        <f>IF(OR(Normy!$C$5="",'Volume po lince'!G4=0),"",ROUNDUP('Volume po lince'!G4/(Normy!$C$5*IF(Normy!$D$5="",Parametry!$B$7,Normy!$D$5)),0))</f>
        <v/>
      </c>
      <c r="I5" s="4">
        <f>IF(OR(Normy!$C$5="",'Volume po lince'!H4=0),"",ROUNDUP('Volume po lince'!H4/(Normy!$C$5*IF(Normy!$D$5="",Parametry!$B$7,Normy!$D$5)),0))</f>
        <v/>
      </c>
      <c r="J5" s="4">
        <f>IF(OR(Normy!$C$5="",'Volume po lince'!I4=0),"",ROUNDUP('Volume po lince'!I4/(Normy!$C$5*IF(Normy!$D$5="",Parametry!$B$7,Normy!$D$5)),0))</f>
        <v/>
      </c>
      <c r="K5" s="4">
        <f>IF(OR(Normy!$C$5="",'Volume po lince'!J4=0),"",ROUNDUP('Volume po lince'!J4/(Normy!$C$5*IF(Normy!$D$5="",Parametry!$B$7,Normy!$D$5)),0))</f>
        <v/>
      </c>
      <c r="L5" s="4">
        <f>IF(OR(Normy!$C$5="",'Volume po lince'!K4=0),"",ROUNDUP('Volume po lince'!K4/(Normy!$C$5*IF(Normy!$D$5="",Parametry!$B$7,Normy!$D$5)),0))</f>
        <v/>
      </c>
      <c r="M5" s="4">
        <f>IF(OR(Normy!$C$5="",'Volume po lince'!L4=0),"",ROUNDUP('Volume po lince'!L4/(Normy!$C$5*IF(Normy!$D$5="",Parametry!$B$7,Normy!$D$5)),0))</f>
        <v/>
      </c>
      <c r="N5" s="4">
        <f>IF(OR(Normy!$C$5="",'Volume po lince'!M4=0),"",ROUNDUP('Volume po lince'!M4/(Normy!$C$5*IF(Normy!$D$5="",Parametry!$B$7,Normy!$D$5)),0))</f>
        <v/>
      </c>
      <c r="O5" s="4">
        <f>IF(OR(Normy!$C$5="",'Volume po lince'!N4=0),"",ROUNDUP('Volume po lince'!N4/(Normy!$C$5*IF(Normy!$D$5="",Parametry!$B$7,Normy!$D$5)),0))</f>
        <v/>
      </c>
      <c r="P5" s="4">
        <f>IF(OR(Normy!$C$5="",'Volume po lince'!O4=0),"",ROUNDUP('Volume po lince'!O4/(Normy!$C$5*IF(Normy!$D$5="",Parametry!$B$7,Normy!$D$5)),0))</f>
        <v/>
      </c>
      <c r="Q5" s="4">
        <f>IF(OR(Normy!$C$5="",'Volume po lince'!P4=0),"",ROUNDUP('Volume po lince'!P4/(Normy!$C$5*IF(Normy!$D$5="",Parametry!$B$7,Normy!$D$5)),0))</f>
        <v/>
      </c>
      <c r="R5" s="4">
        <f>IF(OR(Normy!$C$5="",'Volume po lince'!Q4=0),"",ROUNDUP('Volume po lince'!Q4/(Normy!$C$5*IF(Normy!$D$5="",Parametry!$B$7,Normy!$D$5)),0))</f>
        <v/>
      </c>
      <c r="S5" s="4">
        <f>IF(OR(Normy!$C$5="",'Volume po lince'!R4=0),"",ROUNDUP('Volume po lince'!R4/(Normy!$C$5*IF(Normy!$D$5="",Parametry!$B$7,Normy!$D$5)),0))</f>
        <v/>
      </c>
      <c r="T5" s="4">
        <f>IF(OR(Normy!$C$5="",'Volume po lince'!S4=0),"",ROUNDUP('Volume po lince'!S4/(Normy!$C$5*IF(Normy!$D$5="",Parametry!$B$7,Normy!$D$5)),0))</f>
        <v/>
      </c>
      <c r="U5" s="4">
        <f>IF(OR(Normy!$C$5="",'Volume po lince'!T4=0),"",ROUNDUP('Volume po lince'!T4/(Normy!$C$5*IF(Normy!$D$5="",Parametry!$B$7,Normy!$D$5)),0))</f>
        <v/>
      </c>
      <c r="V5" s="4">
        <f>IF(OR(Normy!$C$5="",'Volume po lince'!U4=0),"",ROUNDUP('Volume po lince'!U4/(Normy!$C$5*IF(Normy!$D$5="",Parametry!$B$7,Normy!$D$5)),0))</f>
        <v/>
      </c>
      <c r="W5" s="4">
        <f>IF(OR(Normy!$C$5="",'Volume po lince'!V4=0),"",ROUNDUP('Volume po lince'!V4/(Normy!$C$5*IF(Normy!$D$5="",Parametry!$B$7,Normy!$D$5)),0))</f>
        <v/>
      </c>
      <c r="X5" s="4">
        <f>IF(OR(Normy!$C$5="",'Volume po lince'!W4=0),"",ROUNDUP('Volume po lince'!W4/(Normy!$C$5*IF(Normy!$D$5="",Parametry!$B$7,Normy!$D$5)),0))</f>
        <v/>
      </c>
      <c r="Y5" s="4">
        <f>IF(OR(Normy!$C$5="",'Volume po lince'!X4=0),"",ROUNDUP('Volume po lince'!X4/(Normy!$C$5*IF(Normy!$D$5="",Parametry!$B$7,Normy!$D$5)),0))</f>
        <v/>
      </c>
      <c r="Z5" s="4">
        <f>IF(OR(Normy!$C$5="",'Volume po lince'!Y4=0),"",ROUNDUP('Volume po lince'!Y4/(Normy!$C$5*IF(Normy!$D$5="",Parametry!$B$7,Normy!$D$5)),0))</f>
        <v/>
      </c>
      <c r="AA5" s="4">
        <f>IF(OR(Normy!$C$5="",'Volume po lince'!Z4=0),"",ROUNDUP('Volume po lince'!Z4/(Normy!$C$5*IF(Normy!$D$5="",Parametry!$B$7,Normy!$D$5)),0))</f>
        <v/>
      </c>
      <c r="AB5" s="4">
        <f>IF(OR(Normy!$C$5="",'Volume po lince'!AA4=0),"",ROUNDUP('Volume po lince'!AA4/(Normy!$C$5*IF(Normy!$D$5="",Parametry!$B$7,Normy!$D$5)),0))</f>
        <v/>
      </c>
      <c r="AC5" s="4">
        <f>IF(OR(Normy!$C$5="",'Volume po lince'!AB4=0),"",ROUNDUP('Volume po lince'!AB4/(Normy!$C$5*IF(Normy!$D$5="",Parametry!$B$7,Normy!$D$5)),0))</f>
        <v/>
      </c>
      <c r="AD5" s="4">
        <f>IF(OR(Normy!$C$5="",'Volume po lince'!AC4=0),"",ROUNDUP('Volume po lince'!AC4/(Normy!$C$5*IF(Normy!$D$5="",Parametry!$B$7,Normy!$D$5)),0))</f>
        <v/>
      </c>
      <c r="AE5" s="4">
        <f>IF(OR(Normy!$C$5="",'Volume po lince'!AD4=0),"",ROUNDUP('Volume po lince'!AD4/(Normy!$C$5*IF(Normy!$D$5="",Parametry!$B$7,Normy!$D$5)),0))</f>
        <v/>
      </c>
      <c r="AF5" s="4">
        <f>IF(OR(Normy!$C$5="",'Volume po lince'!AE4=0),"",ROUNDUP('Volume po lince'!AE4/(Normy!$C$5*IF(Normy!$D$5="",Parametry!$B$7,Normy!$D$5)),0))</f>
        <v/>
      </c>
      <c r="AG5" s="4">
        <f>IF(OR(Normy!$C$5="",'Volume po lince'!AF4=0),"",ROUNDUP('Volume po lince'!AF4/(Normy!$C$5*IF(Normy!$D$5="",Parametry!$B$7,Normy!$D$5)),0))</f>
        <v/>
      </c>
      <c r="AH5" s="4">
        <f>IF(OR(Normy!$C$5="",'Volume po lince'!AG4=0),"",ROUNDUP('Volume po lince'!AG4/(Normy!$C$5*IF(Normy!$D$5="",Parametry!$B$7,Normy!$D$5)),0))</f>
        <v/>
      </c>
      <c r="AI5" s="4">
        <f>IF(OR(Normy!$C$5="",'Volume po lince'!AH4=0),"",ROUNDUP('Volume po lince'!AH4/(Normy!$C$5*IF(Normy!$D$5="",Parametry!$B$7,Normy!$D$5)),0))</f>
        <v/>
      </c>
      <c r="AJ5" s="4">
        <f>IF(OR(Normy!$C$5="",'Volume po lince'!AI4=0),"",ROUNDUP('Volume po lince'!AI4/(Normy!$C$5*IF(Normy!$D$5="",Parametry!$B$7,Normy!$D$5)),0))</f>
        <v/>
      </c>
      <c r="AK5" s="4">
        <f>IF(OR(Normy!$C$5="",'Volume po lince'!AJ4=0),"",ROUNDUP('Volume po lince'!AJ4/(Normy!$C$5*IF(Normy!$D$5="",Parametry!$B$7,Normy!$D$5)),0))</f>
        <v/>
      </c>
      <c r="AL5" s="4">
        <f>IF(OR(Normy!$C$5="",'Volume po lince'!AK4=0),"",ROUNDUP('Volume po lince'!AK4/(Normy!$C$5*IF(Normy!$D$5="",Parametry!$B$7,Normy!$D$5)),0))</f>
        <v/>
      </c>
      <c r="AM5" s="4">
        <f>IF(OR(Normy!$C$5="",'Volume po lince'!AL4=0),"",ROUNDUP('Volume po lince'!AL4/(Normy!$C$5*IF(Normy!$D$5="",Parametry!$B$7,Normy!$D$5)),0))</f>
        <v/>
      </c>
      <c r="AN5" s="4">
        <f>IF(OR(Normy!$C$5="",'Volume po lince'!AM4=0),"",ROUNDUP('Volume po lince'!AM4/(Normy!$C$5*IF(Normy!$D$5="",Parametry!$B$7,Normy!$D$5)),0))</f>
        <v/>
      </c>
      <c r="AO5" s="4">
        <f>IF(OR(Normy!$C$5="",'Volume po lince'!AN4=0),"",ROUNDUP('Volume po lince'!AN4/(Normy!$C$5*IF(Normy!$D$5="",Parametry!$B$7,Normy!$D$5)),0))</f>
        <v/>
      </c>
      <c r="AP5" s="4">
        <f>IF(OR(Normy!$C$5="",'Volume po lince'!AO4=0),"",ROUNDUP('Volume po lince'!AO4/(Normy!$C$5*IF(Normy!$D$5="",Parametry!$B$7,Normy!$D$5)),0))</f>
        <v/>
      </c>
      <c r="AQ5" s="4">
        <f>IF(OR(Normy!$C$5="",'Volume po lince'!AP4=0),"",ROUNDUP('Volume po lince'!AP4/(Normy!$C$5*IF(Normy!$D$5="",Parametry!$B$7,Normy!$D$5)),0))</f>
        <v/>
      </c>
      <c r="AR5" s="4">
        <f>IF(OR(Normy!$C$5="",'Volume po lince'!AQ4=0),"",ROUNDUP('Volume po lince'!AQ4/(Normy!$C$5*IF(Normy!$D$5="",Parametry!$B$7,Normy!$D$5)),0))</f>
        <v/>
      </c>
      <c r="AS5" s="4">
        <f>IF(OR(Normy!$C$5="",'Volume po lince'!AR4=0),"",ROUNDUP('Volume po lince'!AR4/(Normy!$C$5*IF(Normy!$D$5="",Parametry!$B$7,Normy!$D$5)),0))</f>
        <v/>
      </c>
      <c r="AT5" s="4">
        <f>IF(OR(Normy!$C$5="",'Volume po lince'!AS4=0),"",ROUNDUP('Volume po lince'!AS4/(Normy!$C$5*IF(Normy!$D$5="",Parametry!$B$7,Normy!$D$5)),0))</f>
        <v/>
      </c>
      <c r="AU5" s="4">
        <f>IF(OR(Normy!$C$5="",'Volume po lince'!AT4=0),"",ROUNDUP('Volume po lince'!AT4/(Normy!$C$5*IF(Normy!$D$5="",Parametry!$B$7,Normy!$D$5)),0))</f>
        <v/>
      </c>
      <c r="AV5" s="4">
        <f>IF(OR(Normy!$C$5="",'Volume po lince'!AU4=0),"",ROUNDUP('Volume po lince'!AU4/(Normy!$C$5*IF(Normy!$D$5="",Parametry!$B$7,Normy!$D$5)),0))</f>
        <v/>
      </c>
      <c r="AW5" s="4">
        <f>IF(OR(Normy!$C$5="",'Volume po lince'!AV4=0),"",ROUNDUP('Volume po lince'!AV4/(Normy!$C$5*IF(Normy!$D$5="",Parametry!$B$7,Normy!$D$5)),0))</f>
        <v/>
      </c>
      <c r="AX5" s="4">
        <f>IF(OR(Normy!$C$5="",'Volume po lince'!AW4=0),"",ROUNDUP('Volume po lince'!AW4/(Normy!$C$5*IF(Normy!$D$5="",Parametry!$B$7,Normy!$D$5)),0))</f>
        <v/>
      </c>
      <c r="AY5" s="4">
        <f>IF(OR(Normy!$C$5="",'Volume po lince'!AX4=0),"",ROUNDUP('Volume po lince'!AX4/(Normy!$C$5*IF(Normy!$D$5="",Parametry!$B$7,Normy!$D$5)),0))</f>
        <v/>
      </c>
      <c r="AZ5" s="4">
        <f>IF(OR(Normy!$C$5="",'Volume po lince'!AY4=0),"",ROUNDUP('Volume po lince'!AY4/(Normy!$C$5*IF(Normy!$D$5="",Parametry!$B$7,Normy!$D$5)),0))</f>
        <v/>
      </c>
      <c r="BA5" s="4">
        <f>IF(OR(Normy!$C$5="",'Volume po lince'!AZ4=0),"",ROUNDUP('Volume po lince'!AZ4/(Normy!$C$5*IF(Normy!$D$5="",Parametry!$B$7,Normy!$D$5)),0))</f>
        <v/>
      </c>
      <c r="BB5" s="4">
        <f>IF(OR(Normy!$C$5="",'Volume po lince'!BA4=0),"",ROUNDUP('Volume po lince'!BA4/(Normy!$C$5*IF(Normy!$D$5="",Parametry!$B$7,Normy!$D$5)),0))</f>
        <v/>
      </c>
      <c r="BC5" s="4">
        <f>IF(OR(Normy!$C$5="",'Volume po lince'!BB4=0),"",ROUNDUP('Volume po lince'!BB4/(Normy!$C$5*IF(Normy!$D$5="",Parametry!$B$7,Normy!$D$5)),0))</f>
        <v/>
      </c>
      <c r="BD5" s="4">
        <f>IF(OR(Normy!$C$5="",'Volume po lince'!BC4=0),"",ROUNDUP('Volume po lince'!BC4/(Normy!$C$5*IF(Normy!$D$5="",Parametry!$B$7,Normy!$D$5)),0))</f>
        <v/>
      </c>
      <c r="BE5" s="4">
        <f>IF(OR(Normy!$C$5="",'Volume po lince'!BD4=0),"",ROUNDUP('Volume po lince'!BD4/(Normy!$C$5*IF(Normy!$D$5="",Parametry!$B$7,Normy!$D$5)),0))</f>
        <v/>
      </c>
      <c r="BF5" s="4">
        <f>IF(OR(Normy!$C$5="",'Volume po lince'!BE4=0),"",ROUNDUP('Volume po lince'!BE4/(Normy!$C$5*IF(Normy!$D$5="",Parametry!$B$7,Normy!$D$5)),0))</f>
        <v/>
      </c>
      <c r="BG5" s="4">
        <f>IF(OR(Normy!$C$5="",'Volume po lince'!BF4=0),"",ROUNDUP('Volume po lince'!BF4/(Normy!$C$5*IF(Normy!$D$5="",Parametry!$B$7,Normy!$D$5)),0))</f>
        <v/>
      </c>
      <c r="BH5" s="4">
        <f>IF(OR(Normy!$C$5="",'Volume po lince'!BG4=0),"",ROUNDUP('Volume po lince'!BG4/(Normy!$C$5*IF(Normy!$D$5="",Parametry!$B$7,Normy!$D$5)),0))</f>
        <v/>
      </c>
      <c r="BI5" s="4">
        <f>IF(OR(Normy!$C$5="",'Volume po lince'!BH4=0),"",ROUNDUP('Volume po lince'!BH4/(Normy!$C$5*IF(Normy!$D$5="",Parametry!$B$7,Normy!$D$5)),0))</f>
        <v/>
      </c>
      <c r="BJ5" s="4">
        <f>IF(OR(Normy!$C$5="",'Volume po lince'!BI4=0),"",ROUNDUP('Volume po lince'!BI4/(Normy!$C$5*IF(Normy!$D$5="",Parametry!$B$7,Normy!$D$5)),0))</f>
        <v/>
      </c>
      <c r="BK5" s="4">
        <f>IF(OR(Normy!$C$5="",'Volume po lince'!BJ4=0),"",ROUNDUP('Volume po lince'!BJ4/(Normy!$C$5*IF(Normy!$D$5="",Parametry!$B$7,Normy!$D$5)),0))</f>
        <v/>
      </c>
      <c r="BL5" s="4">
        <f>IF(OR(Normy!$C$5="",'Volume po lince'!BK4=0),"",ROUNDUP('Volume po lince'!BK4/(Normy!$C$5*IF(Normy!$D$5="",Parametry!$B$7,Normy!$D$5)),0))</f>
        <v/>
      </c>
      <c r="BM5" s="4">
        <f>IF(OR(Normy!$C$5="",'Volume po lince'!BL4=0),"",ROUNDUP('Volume po lince'!BL4/(Normy!$C$5*IF(Normy!$D$5="",Parametry!$B$7,Normy!$D$5)),0))</f>
        <v/>
      </c>
    </row>
    <row r="6">
      <c r="A6" s="19" t="n"/>
      <c r="B6" s="4" t="inlineStr">
        <is>
          <t>OP-směn</t>
        </is>
      </c>
      <c r="C6" s="4">
        <f>IF(OR(C5="",Normy!$E$5=""),"",C5*Normy!$E$5)</f>
        <v/>
      </c>
      <c r="D6" s="4">
        <f>IF(OR(D5="",Normy!$E$5=""),"",D5*Normy!$E$5)</f>
        <v/>
      </c>
      <c r="E6" s="4">
        <f>IF(OR(E5="",Normy!$E$5=""),"",E5*Normy!$E$5)</f>
        <v/>
      </c>
      <c r="F6" s="4">
        <f>IF(OR(F5="",Normy!$E$5=""),"",F5*Normy!$E$5)</f>
        <v/>
      </c>
      <c r="G6" s="4">
        <f>IF(OR(G5="",Normy!$E$5=""),"",G5*Normy!$E$5)</f>
        <v/>
      </c>
      <c r="H6" s="4">
        <f>IF(OR(H5="",Normy!$E$5=""),"",H5*Normy!$E$5)</f>
        <v/>
      </c>
      <c r="I6" s="4">
        <f>IF(OR(I5="",Normy!$E$5=""),"",I5*Normy!$E$5)</f>
        <v/>
      </c>
      <c r="J6" s="4">
        <f>IF(OR(J5="",Normy!$E$5=""),"",J5*Normy!$E$5)</f>
        <v/>
      </c>
      <c r="K6" s="4">
        <f>IF(OR(K5="",Normy!$E$5=""),"",K5*Normy!$E$5)</f>
        <v/>
      </c>
      <c r="L6" s="4">
        <f>IF(OR(L5="",Normy!$E$5=""),"",L5*Normy!$E$5)</f>
        <v/>
      </c>
      <c r="M6" s="4">
        <f>IF(OR(M5="",Normy!$E$5=""),"",M5*Normy!$E$5)</f>
        <v/>
      </c>
      <c r="N6" s="4">
        <f>IF(OR(N5="",Normy!$E$5=""),"",N5*Normy!$E$5)</f>
        <v/>
      </c>
      <c r="O6" s="4">
        <f>IF(OR(O5="",Normy!$E$5=""),"",O5*Normy!$E$5)</f>
        <v/>
      </c>
      <c r="P6" s="4">
        <f>IF(OR(P5="",Normy!$E$5=""),"",P5*Normy!$E$5)</f>
        <v/>
      </c>
      <c r="Q6" s="4">
        <f>IF(OR(Q5="",Normy!$E$5=""),"",Q5*Normy!$E$5)</f>
        <v/>
      </c>
      <c r="R6" s="4">
        <f>IF(OR(R5="",Normy!$E$5=""),"",R5*Normy!$E$5)</f>
        <v/>
      </c>
      <c r="S6" s="4">
        <f>IF(OR(S5="",Normy!$E$5=""),"",S5*Normy!$E$5)</f>
        <v/>
      </c>
      <c r="T6" s="4">
        <f>IF(OR(T5="",Normy!$E$5=""),"",T5*Normy!$E$5)</f>
        <v/>
      </c>
      <c r="U6" s="4">
        <f>IF(OR(U5="",Normy!$E$5=""),"",U5*Normy!$E$5)</f>
        <v/>
      </c>
      <c r="V6" s="4">
        <f>IF(OR(V5="",Normy!$E$5=""),"",V5*Normy!$E$5)</f>
        <v/>
      </c>
      <c r="W6" s="4">
        <f>IF(OR(W5="",Normy!$E$5=""),"",W5*Normy!$E$5)</f>
        <v/>
      </c>
      <c r="X6" s="4">
        <f>IF(OR(X5="",Normy!$E$5=""),"",X5*Normy!$E$5)</f>
        <v/>
      </c>
      <c r="Y6" s="4">
        <f>IF(OR(Y5="",Normy!$E$5=""),"",Y5*Normy!$E$5)</f>
        <v/>
      </c>
      <c r="Z6" s="4">
        <f>IF(OR(Z5="",Normy!$E$5=""),"",Z5*Normy!$E$5)</f>
        <v/>
      </c>
      <c r="AA6" s="4">
        <f>IF(OR(AA5="",Normy!$E$5=""),"",AA5*Normy!$E$5)</f>
        <v/>
      </c>
      <c r="AB6" s="4">
        <f>IF(OR(AB5="",Normy!$E$5=""),"",AB5*Normy!$E$5)</f>
        <v/>
      </c>
      <c r="AC6" s="4">
        <f>IF(OR(AC5="",Normy!$E$5=""),"",AC5*Normy!$E$5)</f>
        <v/>
      </c>
      <c r="AD6" s="4">
        <f>IF(OR(AD5="",Normy!$E$5=""),"",AD5*Normy!$E$5)</f>
        <v/>
      </c>
      <c r="AE6" s="4">
        <f>IF(OR(AE5="",Normy!$E$5=""),"",AE5*Normy!$E$5)</f>
        <v/>
      </c>
      <c r="AF6" s="4">
        <f>IF(OR(AF5="",Normy!$E$5=""),"",AF5*Normy!$E$5)</f>
        <v/>
      </c>
      <c r="AG6" s="4">
        <f>IF(OR(AG5="",Normy!$E$5=""),"",AG5*Normy!$E$5)</f>
        <v/>
      </c>
      <c r="AH6" s="4">
        <f>IF(OR(AH5="",Normy!$E$5=""),"",AH5*Normy!$E$5)</f>
        <v/>
      </c>
      <c r="AI6" s="4">
        <f>IF(OR(AI5="",Normy!$E$5=""),"",AI5*Normy!$E$5)</f>
        <v/>
      </c>
      <c r="AJ6" s="4">
        <f>IF(OR(AJ5="",Normy!$E$5=""),"",AJ5*Normy!$E$5)</f>
        <v/>
      </c>
      <c r="AK6" s="4">
        <f>IF(OR(AK5="",Normy!$E$5=""),"",AK5*Normy!$E$5)</f>
        <v/>
      </c>
      <c r="AL6" s="4">
        <f>IF(OR(AL5="",Normy!$E$5=""),"",AL5*Normy!$E$5)</f>
        <v/>
      </c>
      <c r="AM6" s="4">
        <f>IF(OR(AM5="",Normy!$E$5=""),"",AM5*Normy!$E$5)</f>
        <v/>
      </c>
      <c r="AN6" s="4">
        <f>IF(OR(AN5="",Normy!$E$5=""),"",AN5*Normy!$E$5)</f>
        <v/>
      </c>
      <c r="AO6" s="4">
        <f>IF(OR(AO5="",Normy!$E$5=""),"",AO5*Normy!$E$5)</f>
        <v/>
      </c>
      <c r="AP6" s="4">
        <f>IF(OR(AP5="",Normy!$E$5=""),"",AP5*Normy!$E$5)</f>
        <v/>
      </c>
      <c r="AQ6" s="4">
        <f>IF(OR(AQ5="",Normy!$E$5=""),"",AQ5*Normy!$E$5)</f>
        <v/>
      </c>
      <c r="AR6" s="4">
        <f>IF(OR(AR5="",Normy!$E$5=""),"",AR5*Normy!$E$5)</f>
        <v/>
      </c>
      <c r="AS6" s="4">
        <f>IF(OR(AS5="",Normy!$E$5=""),"",AS5*Normy!$E$5)</f>
        <v/>
      </c>
      <c r="AT6" s="4">
        <f>IF(OR(AT5="",Normy!$E$5=""),"",AT5*Normy!$E$5)</f>
        <v/>
      </c>
      <c r="AU6" s="4">
        <f>IF(OR(AU5="",Normy!$E$5=""),"",AU5*Normy!$E$5)</f>
        <v/>
      </c>
      <c r="AV6" s="4">
        <f>IF(OR(AV5="",Normy!$E$5=""),"",AV5*Normy!$E$5)</f>
        <v/>
      </c>
      <c r="AW6" s="4">
        <f>IF(OR(AW5="",Normy!$E$5=""),"",AW5*Normy!$E$5)</f>
        <v/>
      </c>
      <c r="AX6" s="4">
        <f>IF(OR(AX5="",Normy!$E$5=""),"",AX5*Normy!$E$5)</f>
        <v/>
      </c>
      <c r="AY6" s="4">
        <f>IF(OR(AY5="",Normy!$E$5=""),"",AY5*Normy!$E$5)</f>
        <v/>
      </c>
      <c r="AZ6" s="4">
        <f>IF(OR(AZ5="",Normy!$E$5=""),"",AZ5*Normy!$E$5)</f>
        <v/>
      </c>
      <c r="BA6" s="4">
        <f>IF(OR(BA5="",Normy!$E$5=""),"",BA5*Normy!$E$5)</f>
        <v/>
      </c>
      <c r="BB6" s="4">
        <f>IF(OR(BB5="",Normy!$E$5=""),"",BB5*Normy!$E$5)</f>
        <v/>
      </c>
      <c r="BC6" s="4">
        <f>IF(OR(BC5="",Normy!$E$5=""),"",BC5*Normy!$E$5)</f>
        <v/>
      </c>
      <c r="BD6" s="4">
        <f>IF(OR(BD5="",Normy!$E$5=""),"",BD5*Normy!$E$5)</f>
        <v/>
      </c>
      <c r="BE6" s="4">
        <f>IF(OR(BE5="",Normy!$E$5=""),"",BE5*Normy!$E$5)</f>
        <v/>
      </c>
      <c r="BF6" s="4">
        <f>IF(OR(BF5="",Normy!$E$5=""),"",BF5*Normy!$E$5)</f>
        <v/>
      </c>
      <c r="BG6" s="4">
        <f>IF(OR(BG5="",Normy!$E$5=""),"",BG5*Normy!$E$5)</f>
        <v/>
      </c>
      <c r="BH6" s="4">
        <f>IF(OR(BH5="",Normy!$E$5=""),"",BH5*Normy!$E$5)</f>
        <v/>
      </c>
      <c r="BI6" s="4">
        <f>IF(OR(BI5="",Normy!$E$5=""),"",BI5*Normy!$E$5)</f>
        <v/>
      </c>
      <c r="BJ6" s="4">
        <f>IF(OR(BJ5="",Normy!$E$5=""),"",BJ5*Normy!$E$5)</f>
        <v/>
      </c>
      <c r="BK6" s="4">
        <f>IF(OR(BK5="",Normy!$E$5=""),"",BK5*Normy!$E$5)</f>
        <v/>
      </c>
      <c r="BL6" s="4">
        <f>IF(OR(BL5="",Normy!$E$5=""),"",BL5*Normy!$E$5)</f>
        <v/>
      </c>
      <c r="BM6" s="4">
        <f>IF(OR(BM5="",Normy!$E$5=""),"",BM5*Normy!$E$5)</f>
        <v/>
      </c>
    </row>
    <row r="7">
      <c r="A7" s="19" t="n"/>
      <c r="B7" s="4" t="inlineStr">
        <is>
          <t>Potřeba FTE DL</t>
        </is>
      </c>
      <c r="C7" s="4">
        <f>IF(C6="","",ROUND(C6*Parametry!$B$6/(Parametry!$B$4*(1-Parametry!$B$5)),1))</f>
        <v/>
      </c>
      <c r="D7" s="4">
        <f>IF(D6="","",ROUND(D6*Parametry!$B$6/(Parametry!$B$4*(1-Parametry!$B$5)),1))</f>
        <v/>
      </c>
      <c r="E7" s="4">
        <f>IF(E6="","",ROUND(E6*Parametry!$B$6/(Parametry!$B$4*(1-Parametry!$B$5)),1))</f>
        <v/>
      </c>
      <c r="F7" s="4">
        <f>IF(F6="","",ROUND(F6*Parametry!$B$6/(Parametry!$B$4*(1-Parametry!$B$5)),1))</f>
        <v/>
      </c>
      <c r="G7" s="4">
        <f>IF(G6="","",ROUND(G6*Parametry!$B$6/(Parametry!$B$4*(1-Parametry!$B$5)),1))</f>
        <v/>
      </c>
      <c r="H7" s="4">
        <f>IF(H6="","",ROUND(H6*Parametry!$B$6/(Parametry!$B$4*(1-Parametry!$B$5)),1))</f>
        <v/>
      </c>
      <c r="I7" s="4">
        <f>IF(I6="","",ROUND(I6*Parametry!$B$6/(Parametry!$B$4*(1-Parametry!$B$5)),1))</f>
        <v/>
      </c>
      <c r="J7" s="4">
        <f>IF(J6="","",ROUND(J6*Parametry!$B$6/(Parametry!$B$4*(1-Parametry!$B$5)),1))</f>
        <v/>
      </c>
      <c r="K7" s="4">
        <f>IF(K6="","",ROUND(K6*Parametry!$B$6/(Parametry!$B$4*(1-Parametry!$B$5)),1))</f>
        <v/>
      </c>
      <c r="L7" s="4">
        <f>IF(L6="","",ROUND(L6*Parametry!$B$6/(Parametry!$B$4*(1-Parametry!$B$5)),1))</f>
        <v/>
      </c>
      <c r="M7" s="4">
        <f>IF(M6="","",ROUND(M6*Parametry!$B$6/(Parametry!$B$4*(1-Parametry!$B$5)),1))</f>
        <v/>
      </c>
      <c r="N7" s="4">
        <f>IF(N6="","",ROUND(N6*Parametry!$B$6/(Parametry!$B$4*(1-Parametry!$B$5)),1))</f>
        <v/>
      </c>
      <c r="O7" s="4">
        <f>IF(O6="","",ROUND(O6*Parametry!$B$6/(Parametry!$B$4*(1-Parametry!$B$5)),1))</f>
        <v/>
      </c>
      <c r="P7" s="4">
        <f>IF(P6="","",ROUND(P6*Parametry!$B$6/(Parametry!$B$4*(1-Parametry!$B$5)),1))</f>
        <v/>
      </c>
      <c r="Q7" s="4">
        <f>IF(Q6="","",ROUND(Q6*Parametry!$B$6/(Parametry!$B$4*(1-Parametry!$B$5)),1))</f>
        <v/>
      </c>
      <c r="R7" s="4">
        <f>IF(R6="","",ROUND(R6*Parametry!$B$6/(Parametry!$B$4*(1-Parametry!$B$5)),1))</f>
        <v/>
      </c>
      <c r="S7" s="4">
        <f>IF(S6="","",ROUND(S6*Parametry!$B$6/(Parametry!$B$4*(1-Parametry!$B$5)),1))</f>
        <v/>
      </c>
      <c r="T7" s="4">
        <f>IF(T6="","",ROUND(T6*Parametry!$B$6/(Parametry!$B$4*(1-Parametry!$B$5)),1))</f>
        <v/>
      </c>
      <c r="U7" s="4">
        <f>IF(U6="","",ROUND(U6*Parametry!$B$6/(Parametry!$B$4*(1-Parametry!$B$5)),1))</f>
        <v/>
      </c>
      <c r="V7" s="4">
        <f>IF(V6="","",ROUND(V6*Parametry!$B$6/(Parametry!$B$4*(1-Parametry!$B$5)),1))</f>
        <v/>
      </c>
      <c r="W7" s="4">
        <f>IF(W6="","",ROUND(W6*Parametry!$B$6/(Parametry!$B$4*(1-Parametry!$B$5)),1))</f>
        <v/>
      </c>
      <c r="X7" s="4">
        <f>IF(X6="","",ROUND(X6*Parametry!$B$6/(Parametry!$B$4*(1-Parametry!$B$5)),1))</f>
        <v/>
      </c>
      <c r="Y7" s="4">
        <f>IF(Y6="","",ROUND(Y6*Parametry!$B$6/(Parametry!$B$4*(1-Parametry!$B$5)),1))</f>
        <v/>
      </c>
      <c r="Z7" s="4">
        <f>IF(Z6="","",ROUND(Z6*Parametry!$B$6/(Parametry!$B$4*(1-Parametry!$B$5)),1))</f>
        <v/>
      </c>
      <c r="AA7" s="4">
        <f>IF(AA6="","",ROUND(AA6*Parametry!$B$6/(Parametry!$B$4*(1-Parametry!$B$5)),1))</f>
        <v/>
      </c>
      <c r="AB7" s="4">
        <f>IF(AB6="","",ROUND(AB6*Parametry!$B$6/(Parametry!$B$4*(1-Parametry!$B$5)),1))</f>
        <v/>
      </c>
      <c r="AC7" s="4">
        <f>IF(AC6="","",ROUND(AC6*Parametry!$B$6/(Parametry!$B$4*(1-Parametry!$B$5)),1))</f>
        <v/>
      </c>
      <c r="AD7" s="4">
        <f>IF(AD6="","",ROUND(AD6*Parametry!$B$6/(Parametry!$B$4*(1-Parametry!$B$5)),1))</f>
        <v/>
      </c>
      <c r="AE7" s="4">
        <f>IF(AE6="","",ROUND(AE6*Parametry!$B$6/(Parametry!$B$4*(1-Parametry!$B$5)),1))</f>
        <v/>
      </c>
      <c r="AF7" s="4">
        <f>IF(AF6="","",ROUND(AF6*Parametry!$B$6/(Parametry!$B$4*(1-Parametry!$B$5)),1))</f>
        <v/>
      </c>
      <c r="AG7" s="4">
        <f>IF(AG6="","",ROUND(AG6*Parametry!$B$6/(Parametry!$B$4*(1-Parametry!$B$5)),1))</f>
        <v/>
      </c>
      <c r="AH7" s="4">
        <f>IF(AH6="","",ROUND(AH6*Parametry!$B$6/(Parametry!$B$4*(1-Parametry!$B$5)),1))</f>
        <v/>
      </c>
      <c r="AI7" s="4">
        <f>IF(AI6="","",ROUND(AI6*Parametry!$B$6/(Parametry!$B$4*(1-Parametry!$B$5)),1))</f>
        <v/>
      </c>
      <c r="AJ7" s="4">
        <f>IF(AJ6="","",ROUND(AJ6*Parametry!$B$6/(Parametry!$B$4*(1-Parametry!$B$5)),1))</f>
        <v/>
      </c>
      <c r="AK7" s="4">
        <f>IF(AK6="","",ROUND(AK6*Parametry!$B$6/(Parametry!$B$4*(1-Parametry!$B$5)),1))</f>
        <v/>
      </c>
      <c r="AL7" s="4">
        <f>IF(AL6="","",ROUND(AL6*Parametry!$B$6/(Parametry!$B$4*(1-Parametry!$B$5)),1))</f>
        <v/>
      </c>
      <c r="AM7" s="4">
        <f>IF(AM6="","",ROUND(AM6*Parametry!$B$6/(Parametry!$B$4*(1-Parametry!$B$5)),1))</f>
        <v/>
      </c>
      <c r="AN7" s="4">
        <f>IF(AN6="","",ROUND(AN6*Parametry!$B$6/(Parametry!$B$4*(1-Parametry!$B$5)),1))</f>
        <v/>
      </c>
      <c r="AO7" s="4">
        <f>IF(AO6="","",ROUND(AO6*Parametry!$B$6/(Parametry!$B$4*(1-Parametry!$B$5)),1))</f>
        <v/>
      </c>
      <c r="AP7" s="4">
        <f>IF(AP6="","",ROUND(AP6*Parametry!$B$6/(Parametry!$B$4*(1-Parametry!$B$5)),1))</f>
        <v/>
      </c>
      <c r="AQ7" s="4">
        <f>IF(AQ6="","",ROUND(AQ6*Parametry!$B$6/(Parametry!$B$4*(1-Parametry!$B$5)),1))</f>
        <v/>
      </c>
      <c r="AR7" s="4">
        <f>IF(AR6="","",ROUND(AR6*Parametry!$B$6/(Parametry!$B$4*(1-Parametry!$B$5)),1))</f>
        <v/>
      </c>
      <c r="AS7" s="4">
        <f>IF(AS6="","",ROUND(AS6*Parametry!$B$6/(Parametry!$B$4*(1-Parametry!$B$5)),1))</f>
        <v/>
      </c>
      <c r="AT7" s="4">
        <f>IF(AT6="","",ROUND(AT6*Parametry!$B$6/(Parametry!$B$4*(1-Parametry!$B$5)),1))</f>
        <v/>
      </c>
      <c r="AU7" s="4">
        <f>IF(AU6="","",ROUND(AU6*Parametry!$B$6/(Parametry!$B$4*(1-Parametry!$B$5)),1))</f>
        <v/>
      </c>
      <c r="AV7" s="4">
        <f>IF(AV6="","",ROUND(AV6*Parametry!$B$6/(Parametry!$B$4*(1-Parametry!$B$5)),1))</f>
        <v/>
      </c>
      <c r="AW7" s="4">
        <f>IF(AW6="","",ROUND(AW6*Parametry!$B$6/(Parametry!$B$4*(1-Parametry!$B$5)),1))</f>
        <v/>
      </c>
      <c r="AX7" s="4">
        <f>IF(AX6="","",ROUND(AX6*Parametry!$B$6/(Parametry!$B$4*(1-Parametry!$B$5)),1))</f>
        <v/>
      </c>
      <c r="AY7" s="4">
        <f>IF(AY6="","",ROUND(AY6*Parametry!$B$6/(Parametry!$B$4*(1-Parametry!$B$5)),1))</f>
        <v/>
      </c>
      <c r="AZ7" s="4">
        <f>IF(AZ6="","",ROUND(AZ6*Parametry!$B$6/(Parametry!$B$4*(1-Parametry!$B$5)),1))</f>
        <v/>
      </c>
      <c r="BA7" s="4">
        <f>IF(BA6="","",ROUND(BA6*Parametry!$B$6/(Parametry!$B$4*(1-Parametry!$B$5)),1))</f>
        <v/>
      </c>
      <c r="BB7" s="4">
        <f>IF(BB6="","",ROUND(BB6*Parametry!$B$6/(Parametry!$B$4*(1-Parametry!$B$5)),1))</f>
        <v/>
      </c>
      <c r="BC7" s="4">
        <f>IF(BC6="","",ROUND(BC6*Parametry!$B$6/(Parametry!$B$4*(1-Parametry!$B$5)),1))</f>
        <v/>
      </c>
      <c r="BD7" s="4">
        <f>IF(BD6="","",ROUND(BD6*Parametry!$B$6/(Parametry!$B$4*(1-Parametry!$B$5)),1))</f>
        <v/>
      </c>
      <c r="BE7" s="4">
        <f>IF(BE6="","",ROUND(BE6*Parametry!$B$6/(Parametry!$B$4*(1-Parametry!$B$5)),1))</f>
        <v/>
      </c>
      <c r="BF7" s="4">
        <f>IF(BF6="","",ROUND(BF6*Parametry!$B$6/(Parametry!$B$4*(1-Parametry!$B$5)),1))</f>
        <v/>
      </c>
      <c r="BG7" s="4">
        <f>IF(BG6="","",ROUND(BG6*Parametry!$B$6/(Parametry!$B$4*(1-Parametry!$B$5)),1))</f>
        <v/>
      </c>
      <c r="BH7" s="4">
        <f>IF(BH6="","",ROUND(BH6*Parametry!$B$6/(Parametry!$B$4*(1-Parametry!$B$5)),1))</f>
        <v/>
      </c>
      <c r="BI7" s="4">
        <f>IF(BI6="","",ROUND(BI6*Parametry!$B$6/(Parametry!$B$4*(1-Parametry!$B$5)),1))</f>
        <v/>
      </c>
      <c r="BJ7" s="4">
        <f>IF(BJ6="","",ROUND(BJ6*Parametry!$B$6/(Parametry!$B$4*(1-Parametry!$B$5)),1))</f>
        <v/>
      </c>
      <c r="BK7" s="4">
        <f>IF(BK6="","",ROUND(BK6*Parametry!$B$6/(Parametry!$B$4*(1-Parametry!$B$5)),1))</f>
        <v/>
      </c>
      <c r="BL7" s="4">
        <f>IF(BL6="","",ROUND(BL6*Parametry!$B$6/(Parametry!$B$4*(1-Parametry!$B$5)),1))</f>
        <v/>
      </c>
      <c r="BM7" s="4">
        <f>IF(BM6="","",ROUND(BM6*Parametry!$B$6/(Parametry!$B$4*(1-Parametry!$B$5)),1))</f>
        <v/>
      </c>
    </row>
    <row r="8">
      <c r="A8" s="19" t="n"/>
      <c r="B8" s="4" t="inlineStr">
        <is>
          <t>Skutečnost FTE</t>
        </is>
      </c>
      <c r="C8" s="20">
        <f>IF(Normy!$G$5="","",ROUND(Normy!$G$5*5*Parametry!$B$6/(Parametry!$B$4*(1-Parametry!$B$5)),1))</f>
        <v/>
      </c>
      <c r="D8" s="20">
        <f>IF(Normy!$G$5="","",ROUND(Normy!$G$5*5*Parametry!$B$6/(Parametry!$B$4*(1-Parametry!$B$5)),1))</f>
        <v/>
      </c>
      <c r="E8" s="20">
        <f>IF(Normy!$G$5="","",ROUND(Normy!$G$5*5*Parametry!$B$6/(Parametry!$B$4*(1-Parametry!$B$5)),1))</f>
        <v/>
      </c>
      <c r="F8" s="20">
        <f>IF(Normy!$G$5="","",ROUND(Normy!$G$5*5*Parametry!$B$6/(Parametry!$B$4*(1-Parametry!$B$5)),1))</f>
        <v/>
      </c>
      <c r="G8" s="20">
        <f>IF(Normy!$G$5="","",ROUND(Normy!$G$5*5*Parametry!$B$6/(Parametry!$B$4*(1-Parametry!$B$5)),1))</f>
        <v/>
      </c>
      <c r="H8" s="20">
        <f>IF(Normy!$G$5="","",ROUND(Normy!$G$5*5*Parametry!$B$6/(Parametry!$B$4*(1-Parametry!$B$5)),1))</f>
        <v/>
      </c>
      <c r="I8" s="20">
        <f>IF(Normy!$G$5="","",ROUND(Normy!$G$5*5*Parametry!$B$6/(Parametry!$B$4*(1-Parametry!$B$5)),1))</f>
        <v/>
      </c>
      <c r="J8" s="20">
        <f>IF(Normy!$G$5="","",ROUND(Normy!$G$5*5*Parametry!$B$6/(Parametry!$B$4*(1-Parametry!$B$5)),1))</f>
        <v/>
      </c>
      <c r="K8" s="20">
        <f>IF(Normy!$G$5="","",ROUND(Normy!$G$5*5*Parametry!$B$6/(Parametry!$B$4*(1-Parametry!$B$5)),1))</f>
        <v/>
      </c>
      <c r="L8" s="20">
        <f>IF(Normy!$G$5="","",ROUND(Normy!$G$5*5*Parametry!$B$6/(Parametry!$B$4*(1-Parametry!$B$5)),1))</f>
        <v/>
      </c>
      <c r="M8" s="20">
        <f>IF(Normy!$G$5="","",ROUND(Normy!$G$5*5*Parametry!$B$6/(Parametry!$B$4*(1-Parametry!$B$5)),1))</f>
        <v/>
      </c>
      <c r="N8" s="20">
        <f>IF(Normy!$G$5="","",ROUND(Normy!$G$5*5*Parametry!$B$6/(Parametry!$B$4*(1-Parametry!$B$5)),1))</f>
        <v/>
      </c>
      <c r="O8" s="20">
        <f>IF(Normy!$G$5="","",ROUND(Normy!$G$5*5*Parametry!$B$6/(Parametry!$B$4*(1-Parametry!$B$5)),1))</f>
        <v/>
      </c>
      <c r="P8" s="20">
        <f>IF(Normy!$G$5="","",ROUND(Normy!$G$5*5*Parametry!$B$6/(Parametry!$B$4*(1-Parametry!$B$5)),1))</f>
        <v/>
      </c>
      <c r="Q8" s="20">
        <f>IF(Normy!$G$5="","",ROUND(Normy!$G$5*5*Parametry!$B$6/(Parametry!$B$4*(1-Parametry!$B$5)),1))</f>
        <v/>
      </c>
      <c r="R8" s="20">
        <f>IF(Normy!$G$5="","",ROUND(Normy!$G$5*5*Parametry!$B$6/(Parametry!$B$4*(1-Parametry!$B$5)),1))</f>
        <v/>
      </c>
      <c r="S8" s="20">
        <f>IF(Normy!$G$5="","",ROUND(Normy!$G$5*5*Parametry!$B$6/(Parametry!$B$4*(1-Parametry!$B$5)),1))</f>
        <v/>
      </c>
      <c r="T8" s="20">
        <f>IF(Normy!$G$5="","",ROUND(Normy!$G$5*5*Parametry!$B$6/(Parametry!$B$4*(1-Parametry!$B$5)),1))</f>
        <v/>
      </c>
      <c r="U8" s="20">
        <f>IF(Normy!$G$5="","",ROUND(Normy!$G$5*5*Parametry!$B$6/(Parametry!$B$4*(1-Parametry!$B$5)),1))</f>
        <v/>
      </c>
      <c r="V8" s="20">
        <f>IF(Normy!$G$5="","",ROUND(Normy!$G$5*5*Parametry!$B$6/(Parametry!$B$4*(1-Parametry!$B$5)),1))</f>
        <v/>
      </c>
      <c r="W8" s="20">
        <f>IF(Normy!$G$5="","",ROUND(Normy!$G$5*5*Parametry!$B$6/(Parametry!$B$4*(1-Parametry!$B$5)),1))</f>
        <v/>
      </c>
      <c r="X8" s="20">
        <f>IF(Normy!$G$5="","",ROUND(Normy!$G$5*5*Parametry!$B$6/(Parametry!$B$4*(1-Parametry!$B$5)),1))</f>
        <v/>
      </c>
      <c r="Y8" s="20">
        <f>IF(Normy!$G$5="","",ROUND(Normy!$G$5*5*Parametry!$B$6/(Parametry!$B$4*(1-Parametry!$B$5)),1))</f>
        <v/>
      </c>
      <c r="Z8" s="20">
        <f>IF(Normy!$G$5="","",ROUND(Normy!$G$5*5*Parametry!$B$6/(Parametry!$B$4*(1-Parametry!$B$5)),1))</f>
        <v/>
      </c>
      <c r="AA8" s="20">
        <f>IF(Normy!$G$5="","",ROUND(Normy!$G$5*5*Parametry!$B$6/(Parametry!$B$4*(1-Parametry!$B$5)),1))</f>
        <v/>
      </c>
      <c r="AB8" s="20">
        <f>IF(Normy!$G$5="","",ROUND(Normy!$G$5*5*Parametry!$B$6/(Parametry!$B$4*(1-Parametry!$B$5)),1))</f>
        <v/>
      </c>
      <c r="AC8" s="20">
        <f>IF(Normy!$G$5="","",ROUND(Normy!$G$5*5*Parametry!$B$6/(Parametry!$B$4*(1-Parametry!$B$5)),1))</f>
        <v/>
      </c>
      <c r="AD8" s="20">
        <f>IF(Normy!$G$5="","",ROUND(Normy!$G$5*5*Parametry!$B$6/(Parametry!$B$4*(1-Parametry!$B$5)),1))</f>
        <v/>
      </c>
      <c r="AE8" s="20">
        <f>IF(Normy!$G$5="","",ROUND(Normy!$G$5*5*Parametry!$B$6/(Parametry!$B$4*(1-Parametry!$B$5)),1))</f>
        <v/>
      </c>
      <c r="AF8" s="20">
        <f>IF(Normy!$G$5="","",ROUND(Normy!$G$5*5*Parametry!$B$6/(Parametry!$B$4*(1-Parametry!$B$5)),1))</f>
        <v/>
      </c>
      <c r="AG8" s="20">
        <f>IF(Normy!$G$5="","",ROUND(Normy!$G$5*5*Parametry!$B$6/(Parametry!$B$4*(1-Parametry!$B$5)),1))</f>
        <v/>
      </c>
      <c r="AH8" s="20">
        <f>IF(Normy!$G$5="","",ROUND(Normy!$G$5*5*Parametry!$B$6/(Parametry!$B$4*(1-Parametry!$B$5)),1))</f>
        <v/>
      </c>
      <c r="AI8" s="20">
        <f>IF(Normy!$G$5="","",ROUND(Normy!$G$5*5*Parametry!$B$6/(Parametry!$B$4*(1-Parametry!$B$5)),1))</f>
        <v/>
      </c>
      <c r="AJ8" s="20">
        <f>IF(Normy!$G$5="","",ROUND(Normy!$G$5*5*Parametry!$B$6/(Parametry!$B$4*(1-Parametry!$B$5)),1))</f>
        <v/>
      </c>
      <c r="AK8" s="20">
        <f>IF(Normy!$G$5="","",ROUND(Normy!$G$5*5*Parametry!$B$6/(Parametry!$B$4*(1-Parametry!$B$5)),1))</f>
        <v/>
      </c>
      <c r="AL8" s="20">
        <f>IF(Normy!$G$5="","",ROUND(Normy!$G$5*5*Parametry!$B$6/(Parametry!$B$4*(1-Parametry!$B$5)),1))</f>
        <v/>
      </c>
      <c r="AM8" s="20">
        <f>IF(Normy!$G$5="","",ROUND(Normy!$G$5*5*Parametry!$B$6/(Parametry!$B$4*(1-Parametry!$B$5)),1))</f>
        <v/>
      </c>
      <c r="AN8" s="20">
        <f>IF(Normy!$G$5="","",ROUND(Normy!$G$5*5*Parametry!$B$6/(Parametry!$B$4*(1-Parametry!$B$5)),1))</f>
        <v/>
      </c>
      <c r="AO8" s="20">
        <f>IF(Normy!$G$5="","",ROUND(Normy!$G$5*5*Parametry!$B$6/(Parametry!$B$4*(1-Parametry!$B$5)),1))</f>
        <v/>
      </c>
      <c r="AP8" s="20">
        <f>IF(Normy!$G$5="","",ROUND(Normy!$G$5*5*Parametry!$B$6/(Parametry!$B$4*(1-Parametry!$B$5)),1))</f>
        <v/>
      </c>
      <c r="AQ8" s="20">
        <f>IF(Normy!$G$5="","",ROUND(Normy!$G$5*5*Parametry!$B$6/(Parametry!$B$4*(1-Parametry!$B$5)),1))</f>
        <v/>
      </c>
      <c r="AR8" s="20">
        <f>IF(Normy!$G$5="","",ROUND(Normy!$G$5*5*Parametry!$B$6/(Parametry!$B$4*(1-Parametry!$B$5)),1))</f>
        <v/>
      </c>
      <c r="AS8" s="20">
        <f>IF(Normy!$G$5="","",ROUND(Normy!$G$5*5*Parametry!$B$6/(Parametry!$B$4*(1-Parametry!$B$5)),1))</f>
        <v/>
      </c>
      <c r="AT8" s="20">
        <f>IF(Normy!$G$5="","",ROUND(Normy!$G$5*5*Parametry!$B$6/(Parametry!$B$4*(1-Parametry!$B$5)),1))</f>
        <v/>
      </c>
      <c r="AU8" s="20">
        <f>IF(Normy!$G$5="","",ROUND(Normy!$G$5*5*Parametry!$B$6/(Parametry!$B$4*(1-Parametry!$B$5)),1))</f>
        <v/>
      </c>
      <c r="AV8" s="20">
        <f>IF(Normy!$G$5="","",ROUND(Normy!$G$5*5*Parametry!$B$6/(Parametry!$B$4*(1-Parametry!$B$5)),1))</f>
        <v/>
      </c>
      <c r="AW8" s="20">
        <f>IF(Normy!$G$5="","",ROUND(Normy!$G$5*5*Parametry!$B$6/(Parametry!$B$4*(1-Parametry!$B$5)),1))</f>
        <v/>
      </c>
      <c r="AX8" s="20">
        <f>IF(Normy!$G$5="","",ROUND(Normy!$G$5*5*Parametry!$B$6/(Parametry!$B$4*(1-Parametry!$B$5)),1))</f>
        <v/>
      </c>
      <c r="AY8" s="20">
        <f>IF(Normy!$G$5="","",ROUND(Normy!$G$5*5*Parametry!$B$6/(Parametry!$B$4*(1-Parametry!$B$5)),1))</f>
        <v/>
      </c>
      <c r="AZ8" s="20">
        <f>IF(Normy!$G$5="","",ROUND(Normy!$G$5*5*Parametry!$B$6/(Parametry!$B$4*(1-Parametry!$B$5)),1))</f>
        <v/>
      </c>
      <c r="BA8" s="20">
        <f>IF(Normy!$G$5="","",ROUND(Normy!$G$5*5*Parametry!$B$6/(Parametry!$B$4*(1-Parametry!$B$5)),1))</f>
        <v/>
      </c>
      <c r="BB8" s="20">
        <f>IF(Normy!$G$5="","",ROUND(Normy!$G$5*5*Parametry!$B$6/(Parametry!$B$4*(1-Parametry!$B$5)),1))</f>
        <v/>
      </c>
      <c r="BC8" s="20">
        <f>IF(Normy!$G$5="","",ROUND(Normy!$G$5*5*Parametry!$B$6/(Parametry!$B$4*(1-Parametry!$B$5)),1))</f>
        <v/>
      </c>
      <c r="BD8" s="20">
        <f>IF(Normy!$G$5="","",ROUND(Normy!$G$5*5*Parametry!$B$6/(Parametry!$B$4*(1-Parametry!$B$5)),1))</f>
        <v/>
      </c>
      <c r="BE8" s="20">
        <f>IF(Normy!$G$5="","",ROUND(Normy!$G$5*5*Parametry!$B$6/(Parametry!$B$4*(1-Parametry!$B$5)),1))</f>
        <v/>
      </c>
      <c r="BF8" s="20">
        <f>IF(Normy!$G$5="","",ROUND(Normy!$G$5*5*Parametry!$B$6/(Parametry!$B$4*(1-Parametry!$B$5)),1))</f>
        <v/>
      </c>
      <c r="BG8" s="20">
        <f>IF(Normy!$G$5="","",ROUND(Normy!$G$5*5*Parametry!$B$6/(Parametry!$B$4*(1-Parametry!$B$5)),1))</f>
        <v/>
      </c>
      <c r="BH8" s="20">
        <f>IF(Normy!$G$5="","",ROUND(Normy!$G$5*5*Parametry!$B$6/(Parametry!$B$4*(1-Parametry!$B$5)),1))</f>
        <v/>
      </c>
      <c r="BI8" s="20">
        <f>IF(Normy!$G$5="","",ROUND(Normy!$G$5*5*Parametry!$B$6/(Parametry!$B$4*(1-Parametry!$B$5)),1))</f>
        <v/>
      </c>
      <c r="BJ8" s="20">
        <f>IF(Normy!$G$5="","",ROUND(Normy!$G$5*5*Parametry!$B$6/(Parametry!$B$4*(1-Parametry!$B$5)),1))</f>
        <v/>
      </c>
      <c r="BK8" s="20">
        <f>IF(Normy!$G$5="","",ROUND(Normy!$G$5*5*Parametry!$B$6/(Parametry!$B$4*(1-Parametry!$B$5)),1))</f>
        <v/>
      </c>
      <c r="BL8" s="20">
        <f>IF(Normy!$G$5="","",ROUND(Normy!$G$5*5*Parametry!$B$6/(Parametry!$B$4*(1-Parametry!$B$5)),1))</f>
        <v/>
      </c>
      <c r="BM8" s="20">
        <f>IF(Normy!$G$5="","",ROUND(Normy!$G$5*5*Parametry!$B$6/(Parametry!$B$4*(1-Parametry!$B$5)),1))</f>
        <v/>
      </c>
    </row>
    <row r="9">
      <c r="A9" s="19" t="n"/>
      <c r="B9" s="4" t="inlineStr">
        <is>
          <t>Gap FTE (skut. − potřeba)</t>
        </is>
      </c>
      <c r="C9" s="20">
        <f>IF(OR(C8="",C7=""),"",C8-C7)</f>
        <v/>
      </c>
      <c r="D9" s="20">
        <f>IF(OR(D8="",D7=""),"",D8-D7)</f>
        <v/>
      </c>
      <c r="E9" s="20">
        <f>IF(OR(E8="",E7=""),"",E8-E7)</f>
        <v/>
      </c>
      <c r="F9" s="20">
        <f>IF(OR(F8="",F7=""),"",F8-F7)</f>
        <v/>
      </c>
      <c r="G9" s="20">
        <f>IF(OR(G8="",G7=""),"",G8-G7)</f>
        <v/>
      </c>
      <c r="H9" s="20">
        <f>IF(OR(H8="",H7=""),"",H8-H7)</f>
        <v/>
      </c>
      <c r="I9" s="20">
        <f>IF(OR(I8="",I7=""),"",I8-I7)</f>
        <v/>
      </c>
      <c r="J9" s="20">
        <f>IF(OR(J8="",J7=""),"",J8-J7)</f>
        <v/>
      </c>
      <c r="K9" s="20">
        <f>IF(OR(K8="",K7=""),"",K8-K7)</f>
        <v/>
      </c>
      <c r="L9" s="20">
        <f>IF(OR(L8="",L7=""),"",L8-L7)</f>
        <v/>
      </c>
      <c r="M9" s="20">
        <f>IF(OR(M8="",M7=""),"",M8-M7)</f>
        <v/>
      </c>
      <c r="N9" s="20">
        <f>IF(OR(N8="",N7=""),"",N8-N7)</f>
        <v/>
      </c>
      <c r="O9" s="20">
        <f>IF(OR(O8="",O7=""),"",O8-O7)</f>
        <v/>
      </c>
      <c r="P9" s="20">
        <f>IF(OR(P8="",P7=""),"",P8-P7)</f>
        <v/>
      </c>
      <c r="Q9" s="20">
        <f>IF(OR(Q8="",Q7=""),"",Q8-Q7)</f>
        <v/>
      </c>
      <c r="R9" s="20">
        <f>IF(OR(R8="",R7=""),"",R8-R7)</f>
        <v/>
      </c>
      <c r="S9" s="20">
        <f>IF(OR(S8="",S7=""),"",S8-S7)</f>
        <v/>
      </c>
      <c r="T9" s="20">
        <f>IF(OR(T8="",T7=""),"",T8-T7)</f>
        <v/>
      </c>
      <c r="U9" s="20">
        <f>IF(OR(U8="",U7=""),"",U8-U7)</f>
        <v/>
      </c>
      <c r="V9" s="20">
        <f>IF(OR(V8="",V7=""),"",V8-V7)</f>
        <v/>
      </c>
      <c r="W9" s="20">
        <f>IF(OR(W8="",W7=""),"",W8-W7)</f>
        <v/>
      </c>
      <c r="X9" s="20">
        <f>IF(OR(X8="",X7=""),"",X8-X7)</f>
        <v/>
      </c>
      <c r="Y9" s="20">
        <f>IF(OR(Y8="",Y7=""),"",Y8-Y7)</f>
        <v/>
      </c>
      <c r="Z9" s="20">
        <f>IF(OR(Z8="",Z7=""),"",Z8-Z7)</f>
        <v/>
      </c>
      <c r="AA9" s="20">
        <f>IF(OR(AA8="",AA7=""),"",AA8-AA7)</f>
        <v/>
      </c>
      <c r="AB9" s="20">
        <f>IF(OR(AB8="",AB7=""),"",AB8-AB7)</f>
        <v/>
      </c>
      <c r="AC9" s="20">
        <f>IF(OR(AC8="",AC7=""),"",AC8-AC7)</f>
        <v/>
      </c>
      <c r="AD9" s="20">
        <f>IF(OR(AD8="",AD7=""),"",AD8-AD7)</f>
        <v/>
      </c>
      <c r="AE9" s="20">
        <f>IF(OR(AE8="",AE7=""),"",AE8-AE7)</f>
        <v/>
      </c>
      <c r="AF9" s="20">
        <f>IF(OR(AF8="",AF7=""),"",AF8-AF7)</f>
        <v/>
      </c>
      <c r="AG9" s="20">
        <f>IF(OR(AG8="",AG7=""),"",AG8-AG7)</f>
        <v/>
      </c>
      <c r="AH9" s="20">
        <f>IF(OR(AH8="",AH7=""),"",AH8-AH7)</f>
        <v/>
      </c>
      <c r="AI9" s="20">
        <f>IF(OR(AI8="",AI7=""),"",AI8-AI7)</f>
        <v/>
      </c>
      <c r="AJ9" s="20">
        <f>IF(OR(AJ8="",AJ7=""),"",AJ8-AJ7)</f>
        <v/>
      </c>
      <c r="AK9" s="20">
        <f>IF(OR(AK8="",AK7=""),"",AK8-AK7)</f>
        <v/>
      </c>
      <c r="AL9" s="20">
        <f>IF(OR(AL8="",AL7=""),"",AL8-AL7)</f>
        <v/>
      </c>
      <c r="AM9" s="20">
        <f>IF(OR(AM8="",AM7=""),"",AM8-AM7)</f>
        <v/>
      </c>
      <c r="AN9" s="20">
        <f>IF(OR(AN8="",AN7=""),"",AN8-AN7)</f>
        <v/>
      </c>
      <c r="AO9" s="20">
        <f>IF(OR(AO8="",AO7=""),"",AO8-AO7)</f>
        <v/>
      </c>
      <c r="AP9" s="20">
        <f>IF(OR(AP8="",AP7=""),"",AP8-AP7)</f>
        <v/>
      </c>
      <c r="AQ9" s="20">
        <f>IF(OR(AQ8="",AQ7=""),"",AQ8-AQ7)</f>
        <v/>
      </c>
      <c r="AR9" s="20">
        <f>IF(OR(AR8="",AR7=""),"",AR8-AR7)</f>
        <v/>
      </c>
      <c r="AS9" s="20">
        <f>IF(OR(AS8="",AS7=""),"",AS8-AS7)</f>
        <v/>
      </c>
      <c r="AT9" s="20">
        <f>IF(OR(AT8="",AT7=""),"",AT8-AT7)</f>
        <v/>
      </c>
      <c r="AU9" s="20">
        <f>IF(OR(AU8="",AU7=""),"",AU8-AU7)</f>
        <v/>
      </c>
      <c r="AV9" s="20">
        <f>IF(OR(AV8="",AV7=""),"",AV8-AV7)</f>
        <v/>
      </c>
      <c r="AW9" s="20">
        <f>IF(OR(AW8="",AW7=""),"",AW8-AW7)</f>
        <v/>
      </c>
      <c r="AX9" s="20">
        <f>IF(OR(AX8="",AX7=""),"",AX8-AX7)</f>
        <v/>
      </c>
      <c r="AY9" s="20">
        <f>IF(OR(AY8="",AY7=""),"",AY8-AY7)</f>
        <v/>
      </c>
      <c r="AZ9" s="20">
        <f>IF(OR(AZ8="",AZ7=""),"",AZ8-AZ7)</f>
        <v/>
      </c>
      <c r="BA9" s="20">
        <f>IF(OR(BA8="",BA7=""),"",BA8-BA7)</f>
        <v/>
      </c>
      <c r="BB9" s="20">
        <f>IF(OR(BB8="",BB7=""),"",BB8-BB7)</f>
        <v/>
      </c>
      <c r="BC9" s="20">
        <f>IF(OR(BC8="",BC7=""),"",BC8-BC7)</f>
        <v/>
      </c>
      <c r="BD9" s="20">
        <f>IF(OR(BD8="",BD7=""),"",BD8-BD7)</f>
        <v/>
      </c>
      <c r="BE9" s="20">
        <f>IF(OR(BE8="",BE7=""),"",BE8-BE7)</f>
        <v/>
      </c>
      <c r="BF9" s="20">
        <f>IF(OR(BF8="",BF7=""),"",BF8-BF7)</f>
        <v/>
      </c>
      <c r="BG9" s="20">
        <f>IF(OR(BG8="",BG7=""),"",BG8-BG7)</f>
        <v/>
      </c>
      <c r="BH9" s="20">
        <f>IF(OR(BH8="",BH7=""),"",BH8-BH7)</f>
        <v/>
      </c>
      <c r="BI9" s="20">
        <f>IF(OR(BI8="",BI7=""),"",BI8-BI7)</f>
        <v/>
      </c>
      <c r="BJ9" s="20">
        <f>IF(OR(BJ8="",BJ7=""),"",BJ8-BJ7)</f>
        <v/>
      </c>
      <c r="BK9" s="20">
        <f>IF(OR(BK8="",BK7=""),"",BK8-BK7)</f>
        <v/>
      </c>
      <c r="BL9" s="20">
        <f>IF(OR(BL8="",BL7=""),"",BL8-BL7)</f>
        <v/>
      </c>
      <c r="BM9" s="20">
        <f>IF(OR(BM8="",BM7=""),"",BM8-BM7)</f>
        <v/>
      </c>
    </row>
    <row r="10">
      <c r="A10" s="18" t="inlineStr">
        <is>
          <t>G463 Assembly</t>
        </is>
      </c>
      <c r="B10" s="4" t="inlineStr">
        <is>
          <t>Potřebné směny (8h)</t>
        </is>
      </c>
      <c r="C10" s="4">
        <f>IF(OR(Normy!$C$6="",'Volume po lince'!B5=0),"",ROUNDUP('Volume po lince'!B5/(Normy!$C$6*IF(Normy!$D$6="",Parametry!$B$7,Normy!$D$6)),0))</f>
        <v/>
      </c>
      <c r="D10" s="4">
        <f>IF(OR(Normy!$C$6="",'Volume po lince'!C5=0),"",ROUNDUP('Volume po lince'!C5/(Normy!$C$6*IF(Normy!$D$6="",Parametry!$B$7,Normy!$D$6)),0))</f>
        <v/>
      </c>
      <c r="E10" s="4">
        <f>IF(OR(Normy!$C$6="",'Volume po lince'!D5=0),"",ROUNDUP('Volume po lince'!D5/(Normy!$C$6*IF(Normy!$D$6="",Parametry!$B$7,Normy!$D$6)),0))</f>
        <v/>
      </c>
      <c r="F10" s="4">
        <f>IF(OR(Normy!$C$6="",'Volume po lince'!E5=0),"",ROUNDUP('Volume po lince'!E5/(Normy!$C$6*IF(Normy!$D$6="",Parametry!$B$7,Normy!$D$6)),0))</f>
        <v/>
      </c>
      <c r="G10" s="4">
        <f>IF(OR(Normy!$C$6="",'Volume po lince'!F5=0),"",ROUNDUP('Volume po lince'!F5/(Normy!$C$6*IF(Normy!$D$6="",Parametry!$B$7,Normy!$D$6)),0))</f>
        <v/>
      </c>
      <c r="H10" s="4">
        <f>IF(OR(Normy!$C$6="",'Volume po lince'!G5=0),"",ROUNDUP('Volume po lince'!G5/(Normy!$C$6*IF(Normy!$D$6="",Parametry!$B$7,Normy!$D$6)),0))</f>
        <v/>
      </c>
      <c r="I10" s="4">
        <f>IF(OR(Normy!$C$6="",'Volume po lince'!H5=0),"",ROUNDUP('Volume po lince'!H5/(Normy!$C$6*IF(Normy!$D$6="",Parametry!$B$7,Normy!$D$6)),0))</f>
        <v/>
      </c>
      <c r="J10" s="4">
        <f>IF(OR(Normy!$C$6="",'Volume po lince'!I5=0),"",ROUNDUP('Volume po lince'!I5/(Normy!$C$6*IF(Normy!$D$6="",Parametry!$B$7,Normy!$D$6)),0))</f>
        <v/>
      </c>
      <c r="K10" s="4">
        <f>IF(OR(Normy!$C$6="",'Volume po lince'!J5=0),"",ROUNDUP('Volume po lince'!J5/(Normy!$C$6*IF(Normy!$D$6="",Parametry!$B$7,Normy!$D$6)),0))</f>
        <v/>
      </c>
      <c r="L10" s="4">
        <f>IF(OR(Normy!$C$6="",'Volume po lince'!K5=0),"",ROUNDUP('Volume po lince'!K5/(Normy!$C$6*IF(Normy!$D$6="",Parametry!$B$7,Normy!$D$6)),0))</f>
        <v/>
      </c>
      <c r="M10" s="4">
        <f>IF(OR(Normy!$C$6="",'Volume po lince'!L5=0),"",ROUNDUP('Volume po lince'!L5/(Normy!$C$6*IF(Normy!$D$6="",Parametry!$B$7,Normy!$D$6)),0))</f>
        <v/>
      </c>
      <c r="N10" s="4">
        <f>IF(OR(Normy!$C$6="",'Volume po lince'!M5=0),"",ROUNDUP('Volume po lince'!M5/(Normy!$C$6*IF(Normy!$D$6="",Parametry!$B$7,Normy!$D$6)),0))</f>
        <v/>
      </c>
      <c r="O10" s="4">
        <f>IF(OR(Normy!$C$6="",'Volume po lince'!N5=0),"",ROUNDUP('Volume po lince'!N5/(Normy!$C$6*IF(Normy!$D$6="",Parametry!$B$7,Normy!$D$6)),0))</f>
        <v/>
      </c>
      <c r="P10" s="4">
        <f>IF(OR(Normy!$C$6="",'Volume po lince'!O5=0),"",ROUNDUP('Volume po lince'!O5/(Normy!$C$6*IF(Normy!$D$6="",Parametry!$B$7,Normy!$D$6)),0))</f>
        <v/>
      </c>
      <c r="Q10" s="4">
        <f>IF(OR(Normy!$C$6="",'Volume po lince'!P5=0),"",ROUNDUP('Volume po lince'!P5/(Normy!$C$6*IF(Normy!$D$6="",Parametry!$B$7,Normy!$D$6)),0))</f>
        <v/>
      </c>
      <c r="R10" s="4">
        <f>IF(OR(Normy!$C$6="",'Volume po lince'!Q5=0),"",ROUNDUP('Volume po lince'!Q5/(Normy!$C$6*IF(Normy!$D$6="",Parametry!$B$7,Normy!$D$6)),0))</f>
        <v/>
      </c>
      <c r="S10" s="4">
        <f>IF(OR(Normy!$C$6="",'Volume po lince'!R5=0),"",ROUNDUP('Volume po lince'!R5/(Normy!$C$6*IF(Normy!$D$6="",Parametry!$B$7,Normy!$D$6)),0))</f>
        <v/>
      </c>
      <c r="T10" s="4">
        <f>IF(OR(Normy!$C$6="",'Volume po lince'!S5=0),"",ROUNDUP('Volume po lince'!S5/(Normy!$C$6*IF(Normy!$D$6="",Parametry!$B$7,Normy!$D$6)),0))</f>
        <v/>
      </c>
      <c r="U10" s="4">
        <f>IF(OR(Normy!$C$6="",'Volume po lince'!T5=0),"",ROUNDUP('Volume po lince'!T5/(Normy!$C$6*IF(Normy!$D$6="",Parametry!$B$7,Normy!$D$6)),0))</f>
        <v/>
      </c>
      <c r="V10" s="4">
        <f>IF(OR(Normy!$C$6="",'Volume po lince'!U5=0),"",ROUNDUP('Volume po lince'!U5/(Normy!$C$6*IF(Normy!$D$6="",Parametry!$B$7,Normy!$D$6)),0))</f>
        <v/>
      </c>
      <c r="W10" s="4">
        <f>IF(OR(Normy!$C$6="",'Volume po lince'!V5=0),"",ROUNDUP('Volume po lince'!V5/(Normy!$C$6*IF(Normy!$D$6="",Parametry!$B$7,Normy!$D$6)),0))</f>
        <v/>
      </c>
      <c r="X10" s="4">
        <f>IF(OR(Normy!$C$6="",'Volume po lince'!W5=0),"",ROUNDUP('Volume po lince'!W5/(Normy!$C$6*IF(Normy!$D$6="",Parametry!$B$7,Normy!$D$6)),0))</f>
        <v/>
      </c>
      <c r="Y10" s="4">
        <f>IF(OR(Normy!$C$6="",'Volume po lince'!X5=0),"",ROUNDUP('Volume po lince'!X5/(Normy!$C$6*IF(Normy!$D$6="",Parametry!$B$7,Normy!$D$6)),0))</f>
        <v/>
      </c>
      <c r="Z10" s="4">
        <f>IF(OR(Normy!$C$6="",'Volume po lince'!Y5=0),"",ROUNDUP('Volume po lince'!Y5/(Normy!$C$6*IF(Normy!$D$6="",Parametry!$B$7,Normy!$D$6)),0))</f>
        <v/>
      </c>
      <c r="AA10" s="4">
        <f>IF(OR(Normy!$C$6="",'Volume po lince'!Z5=0),"",ROUNDUP('Volume po lince'!Z5/(Normy!$C$6*IF(Normy!$D$6="",Parametry!$B$7,Normy!$D$6)),0))</f>
        <v/>
      </c>
      <c r="AB10" s="4">
        <f>IF(OR(Normy!$C$6="",'Volume po lince'!AA5=0),"",ROUNDUP('Volume po lince'!AA5/(Normy!$C$6*IF(Normy!$D$6="",Parametry!$B$7,Normy!$D$6)),0))</f>
        <v/>
      </c>
      <c r="AC10" s="4">
        <f>IF(OR(Normy!$C$6="",'Volume po lince'!AB5=0),"",ROUNDUP('Volume po lince'!AB5/(Normy!$C$6*IF(Normy!$D$6="",Parametry!$B$7,Normy!$D$6)),0))</f>
        <v/>
      </c>
      <c r="AD10" s="4">
        <f>IF(OR(Normy!$C$6="",'Volume po lince'!AC5=0),"",ROUNDUP('Volume po lince'!AC5/(Normy!$C$6*IF(Normy!$D$6="",Parametry!$B$7,Normy!$D$6)),0))</f>
        <v/>
      </c>
      <c r="AE10" s="4">
        <f>IF(OR(Normy!$C$6="",'Volume po lince'!AD5=0),"",ROUNDUP('Volume po lince'!AD5/(Normy!$C$6*IF(Normy!$D$6="",Parametry!$B$7,Normy!$D$6)),0))</f>
        <v/>
      </c>
      <c r="AF10" s="4">
        <f>IF(OR(Normy!$C$6="",'Volume po lince'!AE5=0),"",ROUNDUP('Volume po lince'!AE5/(Normy!$C$6*IF(Normy!$D$6="",Parametry!$B$7,Normy!$D$6)),0))</f>
        <v/>
      </c>
      <c r="AG10" s="4">
        <f>IF(OR(Normy!$C$6="",'Volume po lince'!AF5=0),"",ROUNDUP('Volume po lince'!AF5/(Normy!$C$6*IF(Normy!$D$6="",Parametry!$B$7,Normy!$D$6)),0))</f>
        <v/>
      </c>
      <c r="AH10" s="4">
        <f>IF(OR(Normy!$C$6="",'Volume po lince'!AG5=0),"",ROUNDUP('Volume po lince'!AG5/(Normy!$C$6*IF(Normy!$D$6="",Parametry!$B$7,Normy!$D$6)),0))</f>
        <v/>
      </c>
      <c r="AI10" s="4">
        <f>IF(OR(Normy!$C$6="",'Volume po lince'!AH5=0),"",ROUNDUP('Volume po lince'!AH5/(Normy!$C$6*IF(Normy!$D$6="",Parametry!$B$7,Normy!$D$6)),0))</f>
        <v/>
      </c>
      <c r="AJ10" s="4">
        <f>IF(OR(Normy!$C$6="",'Volume po lince'!AI5=0),"",ROUNDUP('Volume po lince'!AI5/(Normy!$C$6*IF(Normy!$D$6="",Parametry!$B$7,Normy!$D$6)),0))</f>
        <v/>
      </c>
      <c r="AK10" s="4">
        <f>IF(OR(Normy!$C$6="",'Volume po lince'!AJ5=0),"",ROUNDUP('Volume po lince'!AJ5/(Normy!$C$6*IF(Normy!$D$6="",Parametry!$B$7,Normy!$D$6)),0))</f>
        <v/>
      </c>
      <c r="AL10" s="4">
        <f>IF(OR(Normy!$C$6="",'Volume po lince'!AK5=0),"",ROUNDUP('Volume po lince'!AK5/(Normy!$C$6*IF(Normy!$D$6="",Parametry!$B$7,Normy!$D$6)),0))</f>
        <v/>
      </c>
      <c r="AM10" s="4">
        <f>IF(OR(Normy!$C$6="",'Volume po lince'!AL5=0),"",ROUNDUP('Volume po lince'!AL5/(Normy!$C$6*IF(Normy!$D$6="",Parametry!$B$7,Normy!$D$6)),0))</f>
        <v/>
      </c>
      <c r="AN10" s="4">
        <f>IF(OR(Normy!$C$6="",'Volume po lince'!AM5=0),"",ROUNDUP('Volume po lince'!AM5/(Normy!$C$6*IF(Normy!$D$6="",Parametry!$B$7,Normy!$D$6)),0))</f>
        <v/>
      </c>
      <c r="AO10" s="4">
        <f>IF(OR(Normy!$C$6="",'Volume po lince'!AN5=0),"",ROUNDUP('Volume po lince'!AN5/(Normy!$C$6*IF(Normy!$D$6="",Parametry!$B$7,Normy!$D$6)),0))</f>
        <v/>
      </c>
      <c r="AP10" s="4">
        <f>IF(OR(Normy!$C$6="",'Volume po lince'!AO5=0),"",ROUNDUP('Volume po lince'!AO5/(Normy!$C$6*IF(Normy!$D$6="",Parametry!$B$7,Normy!$D$6)),0))</f>
        <v/>
      </c>
      <c r="AQ10" s="4">
        <f>IF(OR(Normy!$C$6="",'Volume po lince'!AP5=0),"",ROUNDUP('Volume po lince'!AP5/(Normy!$C$6*IF(Normy!$D$6="",Parametry!$B$7,Normy!$D$6)),0))</f>
        <v/>
      </c>
      <c r="AR10" s="4">
        <f>IF(OR(Normy!$C$6="",'Volume po lince'!AQ5=0),"",ROUNDUP('Volume po lince'!AQ5/(Normy!$C$6*IF(Normy!$D$6="",Parametry!$B$7,Normy!$D$6)),0))</f>
        <v/>
      </c>
      <c r="AS10" s="4">
        <f>IF(OR(Normy!$C$6="",'Volume po lince'!AR5=0),"",ROUNDUP('Volume po lince'!AR5/(Normy!$C$6*IF(Normy!$D$6="",Parametry!$B$7,Normy!$D$6)),0))</f>
        <v/>
      </c>
      <c r="AT10" s="4">
        <f>IF(OR(Normy!$C$6="",'Volume po lince'!AS5=0),"",ROUNDUP('Volume po lince'!AS5/(Normy!$C$6*IF(Normy!$D$6="",Parametry!$B$7,Normy!$D$6)),0))</f>
        <v/>
      </c>
      <c r="AU10" s="4">
        <f>IF(OR(Normy!$C$6="",'Volume po lince'!AT5=0),"",ROUNDUP('Volume po lince'!AT5/(Normy!$C$6*IF(Normy!$D$6="",Parametry!$B$7,Normy!$D$6)),0))</f>
        <v/>
      </c>
      <c r="AV10" s="4">
        <f>IF(OR(Normy!$C$6="",'Volume po lince'!AU5=0),"",ROUNDUP('Volume po lince'!AU5/(Normy!$C$6*IF(Normy!$D$6="",Parametry!$B$7,Normy!$D$6)),0))</f>
        <v/>
      </c>
      <c r="AW10" s="4">
        <f>IF(OR(Normy!$C$6="",'Volume po lince'!AV5=0),"",ROUNDUP('Volume po lince'!AV5/(Normy!$C$6*IF(Normy!$D$6="",Parametry!$B$7,Normy!$D$6)),0))</f>
        <v/>
      </c>
      <c r="AX10" s="4">
        <f>IF(OR(Normy!$C$6="",'Volume po lince'!AW5=0),"",ROUNDUP('Volume po lince'!AW5/(Normy!$C$6*IF(Normy!$D$6="",Parametry!$B$7,Normy!$D$6)),0))</f>
        <v/>
      </c>
      <c r="AY10" s="4">
        <f>IF(OR(Normy!$C$6="",'Volume po lince'!AX5=0),"",ROUNDUP('Volume po lince'!AX5/(Normy!$C$6*IF(Normy!$D$6="",Parametry!$B$7,Normy!$D$6)),0))</f>
        <v/>
      </c>
      <c r="AZ10" s="4">
        <f>IF(OR(Normy!$C$6="",'Volume po lince'!AY5=0),"",ROUNDUP('Volume po lince'!AY5/(Normy!$C$6*IF(Normy!$D$6="",Parametry!$B$7,Normy!$D$6)),0))</f>
        <v/>
      </c>
      <c r="BA10" s="4">
        <f>IF(OR(Normy!$C$6="",'Volume po lince'!AZ5=0),"",ROUNDUP('Volume po lince'!AZ5/(Normy!$C$6*IF(Normy!$D$6="",Parametry!$B$7,Normy!$D$6)),0))</f>
        <v/>
      </c>
      <c r="BB10" s="4">
        <f>IF(OR(Normy!$C$6="",'Volume po lince'!BA5=0),"",ROUNDUP('Volume po lince'!BA5/(Normy!$C$6*IF(Normy!$D$6="",Parametry!$B$7,Normy!$D$6)),0))</f>
        <v/>
      </c>
      <c r="BC10" s="4">
        <f>IF(OR(Normy!$C$6="",'Volume po lince'!BB5=0),"",ROUNDUP('Volume po lince'!BB5/(Normy!$C$6*IF(Normy!$D$6="",Parametry!$B$7,Normy!$D$6)),0))</f>
        <v/>
      </c>
      <c r="BD10" s="4">
        <f>IF(OR(Normy!$C$6="",'Volume po lince'!BC5=0),"",ROUNDUP('Volume po lince'!BC5/(Normy!$C$6*IF(Normy!$D$6="",Parametry!$B$7,Normy!$D$6)),0))</f>
        <v/>
      </c>
      <c r="BE10" s="4">
        <f>IF(OR(Normy!$C$6="",'Volume po lince'!BD5=0),"",ROUNDUP('Volume po lince'!BD5/(Normy!$C$6*IF(Normy!$D$6="",Parametry!$B$7,Normy!$D$6)),0))</f>
        <v/>
      </c>
      <c r="BF10" s="4">
        <f>IF(OR(Normy!$C$6="",'Volume po lince'!BE5=0),"",ROUNDUP('Volume po lince'!BE5/(Normy!$C$6*IF(Normy!$D$6="",Parametry!$B$7,Normy!$D$6)),0))</f>
        <v/>
      </c>
      <c r="BG10" s="4">
        <f>IF(OR(Normy!$C$6="",'Volume po lince'!BF5=0),"",ROUNDUP('Volume po lince'!BF5/(Normy!$C$6*IF(Normy!$D$6="",Parametry!$B$7,Normy!$D$6)),0))</f>
        <v/>
      </c>
      <c r="BH10" s="4">
        <f>IF(OR(Normy!$C$6="",'Volume po lince'!BG5=0),"",ROUNDUP('Volume po lince'!BG5/(Normy!$C$6*IF(Normy!$D$6="",Parametry!$B$7,Normy!$D$6)),0))</f>
        <v/>
      </c>
      <c r="BI10" s="4">
        <f>IF(OR(Normy!$C$6="",'Volume po lince'!BH5=0),"",ROUNDUP('Volume po lince'!BH5/(Normy!$C$6*IF(Normy!$D$6="",Parametry!$B$7,Normy!$D$6)),0))</f>
        <v/>
      </c>
      <c r="BJ10" s="4">
        <f>IF(OR(Normy!$C$6="",'Volume po lince'!BI5=0),"",ROUNDUP('Volume po lince'!BI5/(Normy!$C$6*IF(Normy!$D$6="",Parametry!$B$7,Normy!$D$6)),0))</f>
        <v/>
      </c>
      <c r="BK10" s="4">
        <f>IF(OR(Normy!$C$6="",'Volume po lince'!BJ5=0),"",ROUNDUP('Volume po lince'!BJ5/(Normy!$C$6*IF(Normy!$D$6="",Parametry!$B$7,Normy!$D$6)),0))</f>
        <v/>
      </c>
      <c r="BL10" s="4">
        <f>IF(OR(Normy!$C$6="",'Volume po lince'!BK5=0),"",ROUNDUP('Volume po lince'!BK5/(Normy!$C$6*IF(Normy!$D$6="",Parametry!$B$7,Normy!$D$6)),0))</f>
        <v/>
      </c>
      <c r="BM10" s="4">
        <f>IF(OR(Normy!$C$6="",'Volume po lince'!BL5=0),"",ROUNDUP('Volume po lince'!BL5/(Normy!$C$6*IF(Normy!$D$6="",Parametry!$B$7,Normy!$D$6)),0))</f>
        <v/>
      </c>
    </row>
    <row r="11">
      <c r="A11" s="19" t="n"/>
      <c r="B11" s="4" t="inlineStr">
        <is>
          <t>OP-směn</t>
        </is>
      </c>
      <c r="C11" s="4">
        <f>IF(OR(C10="",Normy!$E$6=""),"",C10*Normy!$E$6)</f>
        <v/>
      </c>
      <c r="D11" s="4">
        <f>IF(OR(D10="",Normy!$E$6=""),"",D10*Normy!$E$6)</f>
        <v/>
      </c>
      <c r="E11" s="4">
        <f>IF(OR(E10="",Normy!$E$6=""),"",E10*Normy!$E$6)</f>
        <v/>
      </c>
      <c r="F11" s="4">
        <f>IF(OR(F10="",Normy!$E$6=""),"",F10*Normy!$E$6)</f>
        <v/>
      </c>
      <c r="G11" s="4">
        <f>IF(OR(G10="",Normy!$E$6=""),"",G10*Normy!$E$6)</f>
        <v/>
      </c>
      <c r="H11" s="4">
        <f>IF(OR(H10="",Normy!$E$6=""),"",H10*Normy!$E$6)</f>
        <v/>
      </c>
      <c r="I11" s="4">
        <f>IF(OR(I10="",Normy!$E$6=""),"",I10*Normy!$E$6)</f>
        <v/>
      </c>
      <c r="J11" s="4">
        <f>IF(OR(J10="",Normy!$E$6=""),"",J10*Normy!$E$6)</f>
        <v/>
      </c>
      <c r="K11" s="4">
        <f>IF(OR(K10="",Normy!$E$6=""),"",K10*Normy!$E$6)</f>
        <v/>
      </c>
      <c r="L11" s="4">
        <f>IF(OR(L10="",Normy!$E$6=""),"",L10*Normy!$E$6)</f>
        <v/>
      </c>
      <c r="M11" s="4">
        <f>IF(OR(M10="",Normy!$E$6=""),"",M10*Normy!$E$6)</f>
        <v/>
      </c>
      <c r="N11" s="4">
        <f>IF(OR(N10="",Normy!$E$6=""),"",N10*Normy!$E$6)</f>
        <v/>
      </c>
      <c r="O11" s="4">
        <f>IF(OR(O10="",Normy!$E$6=""),"",O10*Normy!$E$6)</f>
        <v/>
      </c>
      <c r="P11" s="4">
        <f>IF(OR(P10="",Normy!$E$6=""),"",P10*Normy!$E$6)</f>
        <v/>
      </c>
      <c r="Q11" s="4">
        <f>IF(OR(Q10="",Normy!$E$6=""),"",Q10*Normy!$E$6)</f>
        <v/>
      </c>
      <c r="R11" s="4">
        <f>IF(OR(R10="",Normy!$E$6=""),"",R10*Normy!$E$6)</f>
        <v/>
      </c>
      <c r="S11" s="4">
        <f>IF(OR(S10="",Normy!$E$6=""),"",S10*Normy!$E$6)</f>
        <v/>
      </c>
      <c r="T11" s="4">
        <f>IF(OR(T10="",Normy!$E$6=""),"",T10*Normy!$E$6)</f>
        <v/>
      </c>
      <c r="U11" s="4">
        <f>IF(OR(U10="",Normy!$E$6=""),"",U10*Normy!$E$6)</f>
        <v/>
      </c>
      <c r="V11" s="4">
        <f>IF(OR(V10="",Normy!$E$6=""),"",V10*Normy!$E$6)</f>
        <v/>
      </c>
      <c r="W11" s="4">
        <f>IF(OR(W10="",Normy!$E$6=""),"",W10*Normy!$E$6)</f>
        <v/>
      </c>
      <c r="X11" s="4">
        <f>IF(OR(X10="",Normy!$E$6=""),"",X10*Normy!$E$6)</f>
        <v/>
      </c>
      <c r="Y11" s="4">
        <f>IF(OR(Y10="",Normy!$E$6=""),"",Y10*Normy!$E$6)</f>
        <v/>
      </c>
      <c r="Z11" s="4">
        <f>IF(OR(Z10="",Normy!$E$6=""),"",Z10*Normy!$E$6)</f>
        <v/>
      </c>
      <c r="AA11" s="4">
        <f>IF(OR(AA10="",Normy!$E$6=""),"",AA10*Normy!$E$6)</f>
        <v/>
      </c>
      <c r="AB11" s="4">
        <f>IF(OR(AB10="",Normy!$E$6=""),"",AB10*Normy!$E$6)</f>
        <v/>
      </c>
      <c r="AC11" s="4">
        <f>IF(OR(AC10="",Normy!$E$6=""),"",AC10*Normy!$E$6)</f>
        <v/>
      </c>
      <c r="AD11" s="4">
        <f>IF(OR(AD10="",Normy!$E$6=""),"",AD10*Normy!$E$6)</f>
        <v/>
      </c>
      <c r="AE11" s="4">
        <f>IF(OR(AE10="",Normy!$E$6=""),"",AE10*Normy!$E$6)</f>
        <v/>
      </c>
      <c r="AF11" s="4">
        <f>IF(OR(AF10="",Normy!$E$6=""),"",AF10*Normy!$E$6)</f>
        <v/>
      </c>
      <c r="AG11" s="4">
        <f>IF(OR(AG10="",Normy!$E$6=""),"",AG10*Normy!$E$6)</f>
        <v/>
      </c>
      <c r="AH11" s="4">
        <f>IF(OR(AH10="",Normy!$E$6=""),"",AH10*Normy!$E$6)</f>
        <v/>
      </c>
      <c r="AI11" s="4">
        <f>IF(OR(AI10="",Normy!$E$6=""),"",AI10*Normy!$E$6)</f>
        <v/>
      </c>
      <c r="AJ11" s="4">
        <f>IF(OR(AJ10="",Normy!$E$6=""),"",AJ10*Normy!$E$6)</f>
        <v/>
      </c>
      <c r="AK11" s="4">
        <f>IF(OR(AK10="",Normy!$E$6=""),"",AK10*Normy!$E$6)</f>
        <v/>
      </c>
      <c r="AL11" s="4">
        <f>IF(OR(AL10="",Normy!$E$6=""),"",AL10*Normy!$E$6)</f>
        <v/>
      </c>
      <c r="AM11" s="4">
        <f>IF(OR(AM10="",Normy!$E$6=""),"",AM10*Normy!$E$6)</f>
        <v/>
      </c>
      <c r="AN11" s="4">
        <f>IF(OR(AN10="",Normy!$E$6=""),"",AN10*Normy!$E$6)</f>
        <v/>
      </c>
      <c r="AO11" s="4">
        <f>IF(OR(AO10="",Normy!$E$6=""),"",AO10*Normy!$E$6)</f>
        <v/>
      </c>
      <c r="AP11" s="4">
        <f>IF(OR(AP10="",Normy!$E$6=""),"",AP10*Normy!$E$6)</f>
        <v/>
      </c>
      <c r="AQ11" s="4">
        <f>IF(OR(AQ10="",Normy!$E$6=""),"",AQ10*Normy!$E$6)</f>
        <v/>
      </c>
      <c r="AR11" s="4">
        <f>IF(OR(AR10="",Normy!$E$6=""),"",AR10*Normy!$E$6)</f>
        <v/>
      </c>
      <c r="AS11" s="4">
        <f>IF(OR(AS10="",Normy!$E$6=""),"",AS10*Normy!$E$6)</f>
        <v/>
      </c>
      <c r="AT11" s="4">
        <f>IF(OR(AT10="",Normy!$E$6=""),"",AT10*Normy!$E$6)</f>
        <v/>
      </c>
      <c r="AU11" s="4">
        <f>IF(OR(AU10="",Normy!$E$6=""),"",AU10*Normy!$E$6)</f>
        <v/>
      </c>
      <c r="AV11" s="4">
        <f>IF(OR(AV10="",Normy!$E$6=""),"",AV10*Normy!$E$6)</f>
        <v/>
      </c>
      <c r="AW11" s="4">
        <f>IF(OR(AW10="",Normy!$E$6=""),"",AW10*Normy!$E$6)</f>
        <v/>
      </c>
      <c r="AX11" s="4">
        <f>IF(OR(AX10="",Normy!$E$6=""),"",AX10*Normy!$E$6)</f>
        <v/>
      </c>
      <c r="AY11" s="4">
        <f>IF(OR(AY10="",Normy!$E$6=""),"",AY10*Normy!$E$6)</f>
        <v/>
      </c>
      <c r="AZ11" s="4">
        <f>IF(OR(AZ10="",Normy!$E$6=""),"",AZ10*Normy!$E$6)</f>
        <v/>
      </c>
      <c r="BA11" s="4">
        <f>IF(OR(BA10="",Normy!$E$6=""),"",BA10*Normy!$E$6)</f>
        <v/>
      </c>
      <c r="BB11" s="4">
        <f>IF(OR(BB10="",Normy!$E$6=""),"",BB10*Normy!$E$6)</f>
        <v/>
      </c>
      <c r="BC11" s="4">
        <f>IF(OR(BC10="",Normy!$E$6=""),"",BC10*Normy!$E$6)</f>
        <v/>
      </c>
      <c r="BD11" s="4">
        <f>IF(OR(BD10="",Normy!$E$6=""),"",BD10*Normy!$E$6)</f>
        <v/>
      </c>
      <c r="BE11" s="4">
        <f>IF(OR(BE10="",Normy!$E$6=""),"",BE10*Normy!$E$6)</f>
        <v/>
      </c>
      <c r="BF11" s="4">
        <f>IF(OR(BF10="",Normy!$E$6=""),"",BF10*Normy!$E$6)</f>
        <v/>
      </c>
      <c r="BG11" s="4">
        <f>IF(OR(BG10="",Normy!$E$6=""),"",BG10*Normy!$E$6)</f>
        <v/>
      </c>
      <c r="BH11" s="4">
        <f>IF(OR(BH10="",Normy!$E$6=""),"",BH10*Normy!$E$6)</f>
        <v/>
      </c>
      <c r="BI11" s="4">
        <f>IF(OR(BI10="",Normy!$E$6=""),"",BI10*Normy!$E$6)</f>
        <v/>
      </c>
      <c r="BJ11" s="4">
        <f>IF(OR(BJ10="",Normy!$E$6=""),"",BJ10*Normy!$E$6)</f>
        <v/>
      </c>
      <c r="BK11" s="4">
        <f>IF(OR(BK10="",Normy!$E$6=""),"",BK10*Normy!$E$6)</f>
        <v/>
      </c>
      <c r="BL11" s="4">
        <f>IF(OR(BL10="",Normy!$E$6=""),"",BL10*Normy!$E$6)</f>
        <v/>
      </c>
      <c r="BM11" s="4">
        <f>IF(OR(BM10="",Normy!$E$6=""),"",BM10*Normy!$E$6)</f>
        <v/>
      </c>
    </row>
    <row r="12">
      <c r="A12" s="19" t="n"/>
      <c r="B12" s="4" t="inlineStr">
        <is>
          <t>Potřeba FTE DL</t>
        </is>
      </c>
      <c r="C12" s="4">
        <f>IF(C11="","",ROUND(C11*Parametry!$B$6/(Parametry!$B$4*(1-Parametry!$B$5)),1))</f>
        <v/>
      </c>
      <c r="D12" s="4">
        <f>IF(D11="","",ROUND(D11*Parametry!$B$6/(Parametry!$B$4*(1-Parametry!$B$5)),1))</f>
        <v/>
      </c>
      <c r="E12" s="4">
        <f>IF(E11="","",ROUND(E11*Parametry!$B$6/(Parametry!$B$4*(1-Parametry!$B$5)),1))</f>
        <v/>
      </c>
      <c r="F12" s="4">
        <f>IF(F11="","",ROUND(F11*Parametry!$B$6/(Parametry!$B$4*(1-Parametry!$B$5)),1))</f>
        <v/>
      </c>
      <c r="G12" s="4">
        <f>IF(G11="","",ROUND(G11*Parametry!$B$6/(Parametry!$B$4*(1-Parametry!$B$5)),1))</f>
        <v/>
      </c>
      <c r="H12" s="4">
        <f>IF(H11="","",ROUND(H11*Parametry!$B$6/(Parametry!$B$4*(1-Parametry!$B$5)),1))</f>
        <v/>
      </c>
      <c r="I12" s="4">
        <f>IF(I11="","",ROUND(I11*Parametry!$B$6/(Parametry!$B$4*(1-Parametry!$B$5)),1))</f>
        <v/>
      </c>
      <c r="J12" s="4">
        <f>IF(J11="","",ROUND(J11*Parametry!$B$6/(Parametry!$B$4*(1-Parametry!$B$5)),1))</f>
        <v/>
      </c>
      <c r="K12" s="4">
        <f>IF(K11="","",ROUND(K11*Parametry!$B$6/(Parametry!$B$4*(1-Parametry!$B$5)),1))</f>
        <v/>
      </c>
      <c r="L12" s="4">
        <f>IF(L11="","",ROUND(L11*Parametry!$B$6/(Parametry!$B$4*(1-Parametry!$B$5)),1))</f>
        <v/>
      </c>
      <c r="M12" s="4">
        <f>IF(M11="","",ROUND(M11*Parametry!$B$6/(Parametry!$B$4*(1-Parametry!$B$5)),1))</f>
        <v/>
      </c>
      <c r="N12" s="4">
        <f>IF(N11="","",ROUND(N11*Parametry!$B$6/(Parametry!$B$4*(1-Parametry!$B$5)),1))</f>
        <v/>
      </c>
      <c r="O12" s="4">
        <f>IF(O11="","",ROUND(O11*Parametry!$B$6/(Parametry!$B$4*(1-Parametry!$B$5)),1))</f>
        <v/>
      </c>
      <c r="P12" s="4">
        <f>IF(P11="","",ROUND(P11*Parametry!$B$6/(Parametry!$B$4*(1-Parametry!$B$5)),1))</f>
        <v/>
      </c>
      <c r="Q12" s="4">
        <f>IF(Q11="","",ROUND(Q11*Parametry!$B$6/(Parametry!$B$4*(1-Parametry!$B$5)),1))</f>
        <v/>
      </c>
      <c r="R12" s="4">
        <f>IF(R11="","",ROUND(R11*Parametry!$B$6/(Parametry!$B$4*(1-Parametry!$B$5)),1))</f>
        <v/>
      </c>
      <c r="S12" s="4">
        <f>IF(S11="","",ROUND(S11*Parametry!$B$6/(Parametry!$B$4*(1-Parametry!$B$5)),1))</f>
        <v/>
      </c>
      <c r="T12" s="4">
        <f>IF(T11="","",ROUND(T11*Parametry!$B$6/(Parametry!$B$4*(1-Parametry!$B$5)),1))</f>
        <v/>
      </c>
      <c r="U12" s="4">
        <f>IF(U11="","",ROUND(U11*Parametry!$B$6/(Parametry!$B$4*(1-Parametry!$B$5)),1))</f>
        <v/>
      </c>
      <c r="V12" s="4">
        <f>IF(V11="","",ROUND(V11*Parametry!$B$6/(Parametry!$B$4*(1-Parametry!$B$5)),1))</f>
        <v/>
      </c>
      <c r="W12" s="4">
        <f>IF(W11="","",ROUND(W11*Parametry!$B$6/(Parametry!$B$4*(1-Parametry!$B$5)),1))</f>
        <v/>
      </c>
      <c r="X12" s="4">
        <f>IF(X11="","",ROUND(X11*Parametry!$B$6/(Parametry!$B$4*(1-Parametry!$B$5)),1))</f>
        <v/>
      </c>
      <c r="Y12" s="4">
        <f>IF(Y11="","",ROUND(Y11*Parametry!$B$6/(Parametry!$B$4*(1-Parametry!$B$5)),1))</f>
        <v/>
      </c>
      <c r="Z12" s="4">
        <f>IF(Z11="","",ROUND(Z11*Parametry!$B$6/(Parametry!$B$4*(1-Parametry!$B$5)),1))</f>
        <v/>
      </c>
      <c r="AA12" s="4">
        <f>IF(AA11="","",ROUND(AA11*Parametry!$B$6/(Parametry!$B$4*(1-Parametry!$B$5)),1))</f>
        <v/>
      </c>
      <c r="AB12" s="4">
        <f>IF(AB11="","",ROUND(AB11*Parametry!$B$6/(Parametry!$B$4*(1-Parametry!$B$5)),1))</f>
        <v/>
      </c>
      <c r="AC12" s="4">
        <f>IF(AC11="","",ROUND(AC11*Parametry!$B$6/(Parametry!$B$4*(1-Parametry!$B$5)),1))</f>
        <v/>
      </c>
      <c r="AD12" s="4">
        <f>IF(AD11="","",ROUND(AD11*Parametry!$B$6/(Parametry!$B$4*(1-Parametry!$B$5)),1))</f>
        <v/>
      </c>
      <c r="AE12" s="4">
        <f>IF(AE11="","",ROUND(AE11*Parametry!$B$6/(Parametry!$B$4*(1-Parametry!$B$5)),1))</f>
        <v/>
      </c>
      <c r="AF12" s="4">
        <f>IF(AF11="","",ROUND(AF11*Parametry!$B$6/(Parametry!$B$4*(1-Parametry!$B$5)),1))</f>
        <v/>
      </c>
      <c r="AG12" s="4">
        <f>IF(AG11="","",ROUND(AG11*Parametry!$B$6/(Parametry!$B$4*(1-Parametry!$B$5)),1))</f>
        <v/>
      </c>
      <c r="AH12" s="4">
        <f>IF(AH11="","",ROUND(AH11*Parametry!$B$6/(Parametry!$B$4*(1-Parametry!$B$5)),1))</f>
        <v/>
      </c>
      <c r="AI12" s="4">
        <f>IF(AI11="","",ROUND(AI11*Parametry!$B$6/(Parametry!$B$4*(1-Parametry!$B$5)),1))</f>
        <v/>
      </c>
      <c r="AJ12" s="4">
        <f>IF(AJ11="","",ROUND(AJ11*Parametry!$B$6/(Parametry!$B$4*(1-Parametry!$B$5)),1))</f>
        <v/>
      </c>
      <c r="AK12" s="4">
        <f>IF(AK11="","",ROUND(AK11*Parametry!$B$6/(Parametry!$B$4*(1-Parametry!$B$5)),1))</f>
        <v/>
      </c>
      <c r="AL12" s="4">
        <f>IF(AL11="","",ROUND(AL11*Parametry!$B$6/(Parametry!$B$4*(1-Parametry!$B$5)),1))</f>
        <v/>
      </c>
      <c r="AM12" s="4">
        <f>IF(AM11="","",ROUND(AM11*Parametry!$B$6/(Parametry!$B$4*(1-Parametry!$B$5)),1))</f>
        <v/>
      </c>
      <c r="AN12" s="4">
        <f>IF(AN11="","",ROUND(AN11*Parametry!$B$6/(Parametry!$B$4*(1-Parametry!$B$5)),1))</f>
        <v/>
      </c>
      <c r="AO12" s="4">
        <f>IF(AO11="","",ROUND(AO11*Parametry!$B$6/(Parametry!$B$4*(1-Parametry!$B$5)),1))</f>
        <v/>
      </c>
      <c r="AP12" s="4">
        <f>IF(AP11="","",ROUND(AP11*Parametry!$B$6/(Parametry!$B$4*(1-Parametry!$B$5)),1))</f>
        <v/>
      </c>
      <c r="AQ12" s="4">
        <f>IF(AQ11="","",ROUND(AQ11*Parametry!$B$6/(Parametry!$B$4*(1-Parametry!$B$5)),1))</f>
        <v/>
      </c>
      <c r="AR12" s="4">
        <f>IF(AR11="","",ROUND(AR11*Parametry!$B$6/(Parametry!$B$4*(1-Parametry!$B$5)),1))</f>
        <v/>
      </c>
      <c r="AS12" s="4">
        <f>IF(AS11="","",ROUND(AS11*Parametry!$B$6/(Parametry!$B$4*(1-Parametry!$B$5)),1))</f>
        <v/>
      </c>
      <c r="AT12" s="4">
        <f>IF(AT11="","",ROUND(AT11*Parametry!$B$6/(Parametry!$B$4*(1-Parametry!$B$5)),1))</f>
        <v/>
      </c>
      <c r="AU12" s="4">
        <f>IF(AU11="","",ROUND(AU11*Parametry!$B$6/(Parametry!$B$4*(1-Parametry!$B$5)),1))</f>
        <v/>
      </c>
      <c r="AV12" s="4">
        <f>IF(AV11="","",ROUND(AV11*Parametry!$B$6/(Parametry!$B$4*(1-Parametry!$B$5)),1))</f>
        <v/>
      </c>
      <c r="AW12" s="4">
        <f>IF(AW11="","",ROUND(AW11*Parametry!$B$6/(Parametry!$B$4*(1-Parametry!$B$5)),1))</f>
        <v/>
      </c>
      <c r="AX12" s="4">
        <f>IF(AX11="","",ROUND(AX11*Parametry!$B$6/(Parametry!$B$4*(1-Parametry!$B$5)),1))</f>
        <v/>
      </c>
      <c r="AY12" s="4">
        <f>IF(AY11="","",ROUND(AY11*Parametry!$B$6/(Parametry!$B$4*(1-Parametry!$B$5)),1))</f>
        <v/>
      </c>
      <c r="AZ12" s="4">
        <f>IF(AZ11="","",ROUND(AZ11*Parametry!$B$6/(Parametry!$B$4*(1-Parametry!$B$5)),1))</f>
        <v/>
      </c>
      <c r="BA12" s="4">
        <f>IF(BA11="","",ROUND(BA11*Parametry!$B$6/(Parametry!$B$4*(1-Parametry!$B$5)),1))</f>
        <v/>
      </c>
      <c r="BB12" s="4">
        <f>IF(BB11="","",ROUND(BB11*Parametry!$B$6/(Parametry!$B$4*(1-Parametry!$B$5)),1))</f>
        <v/>
      </c>
      <c r="BC12" s="4">
        <f>IF(BC11="","",ROUND(BC11*Parametry!$B$6/(Parametry!$B$4*(1-Parametry!$B$5)),1))</f>
        <v/>
      </c>
      <c r="BD12" s="4">
        <f>IF(BD11="","",ROUND(BD11*Parametry!$B$6/(Parametry!$B$4*(1-Parametry!$B$5)),1))</f>
        <v/>
      </c>
      <c r="BE12" s="4">
        <f>IF(BE11="","",ROUND(BE11*Parametry!$B$6/(Parametry!$B$4*(1-Parametry!$B$5)),1))</f>
        <v/>
      </c>
      <c r="BF12" s="4">
        <f>IF(BF11="","",ROUND(BF11*Parametry!$B$6/(Parametry!$B$4*(1-Parametry!$B$5)),1))</f>
        <v/>
      </c>
      <c r="BG12" s="4">
        <f>IF(BG11="","",ROUND(BG11*Parametry!$B$6/(Parametry!$B$4*(1-Parametry!$B$5)),1))</f>
        <v/>
      </c>
      <c r="BH12" s="4">
        <f>IF(BH11="","",ROUND(BH11*Parametry!$B$6/(Parametry!$B$4*(1-Parametry!$B$5)),1))</f>
        <v/>
      </c>
      <c r="BI12" s="4">
        <f>IF(BI11="","",ROUND(BI11*Parametry!$B$6/(Parametry!$B$4*(1-Parametry!$B$5)),1))</f>
        <v/>
      </c>
      <c r="BJ12" s="4">
        <f>IF(BJ11="","",ROUND(BJ11*Parametry!$B$6/(Parametry!$B$4*(1-Parametry!$B$5)),1))</f>
        <v/>
      </c>
      <c r="BK12" s="4">
        <f>IF(BK11="","",ROUND(BK11*Parametry!$B$6/(Parametry!$B$4*(1-Parametry!$B$5)),1))</f>
        <v/>
      </c>
      <c r="BL12" s="4">
        <f>IF(BL11="","",ROUND(BL11*Parametry!$B$6/(Parametry!$B$4*(1-Parametry!$B$5)),1))</f>
        <v/>
      </c>
      <c r="BM12" s="4">
        <f>IF(BM11="","",ROUND(BM11*Parametry!$B$6/(Parametry!$B$4*(1-Parametry!$B$5)),1))</f>
        <v/>
      </c>
    </row>
    <row r="13">
      <c r="A13" s="19" t="n"/>
      <c r="B13" s="4" t="inlineStr">
        <is>
          <t>Skutečnost FTE</t>
        </is>
      </c>
      <c r="C13" s="20">
        <f>IF(Normy!$G$6="","",ROUND(Normy!$G$6*5*Parametry!$B$6/(Parametry!$B$4*(1-Parametry!$B$5)),1))</f>
        <v/>
      </c>
      <c r="D13" s="20">
        <f>IF(Normy!$G$6="","",ROUND(Normy!$G$6*5*Parametry!$B$6/(Parametry!$B$4*(1-Parametry!$B$5)),1))</f>
        <v/>
      </c>
      <c r="E13" s="20">
        <f>IF(Normy!$G$6="","",ROUND(Normy!$G$6*5*Parametry!$B$6/(Parametry!$B$4*(1-Parametry!$B$5)),1))</f>
        <v/>
      </c>
      <c r="F13" s="20">
        <f>IF(Normy!$G$6="","",ROUND(Normy!$G$6*5*Parametry!$B$6/(Parametry!$B$4*(1-Parametry!$B$5)),1))</f>
        <v/>
      </c>
      <c r="G13" s="20">
        <f>IF(Normy!$G$6="","",ROUND(Normy!$G$6*5*Parametry!$B$6/(Parametry!$B$4*(1-Parametry!$B$5)),1))</f>
        <v/>
      </c>
      <c r="H13" s="20">
        <f>IF(Normy!$G$6="","",ROUND(Normy!$G$6*5*Parametry!$B$6/(Parametry!$B$4*(1-Parametry!$B$5)),1))</f>
        <v/>
      </c>
      <c r="I13" s="20">
        <f>IF(Normy!$G$6="","",ROUND(Normy!$G$6*5*Parametry!$B$6/(Parametry!$B$4*(1-Parametry!$B$5)),1))</f>
        <v/>
      </c>
      <c r="J13" s="20">
        <f>IF(Normy!$G$6="","",ROUND(Normy!$G$6*5*Parametry!$B$6/(Parametry!$B$4*(1-Parametry!$B$5)),1))</f>
        <v/>
      </c>
      <c r="K13" s="20">
        <f>IF(Normy!$G$6="","",ROUND(Normy!$G$6*5*Parametry!$B$6/(Parametry!$B$4*(1-Parametry!$B$5)),1))</f>
        <v/>
      </c>
      <c r="L13" s="20">
        <f>IF(Normy!$G$6="","",ROUND(Normy!$G$6*5*Parametry!$B$6/(Parametry!$B$4*(1-Parametry!$B$5)),1))</f>
        <v/>
      </c>
      <c r="M13" s="20">
        <f>IF(Normy!$G$6="","",ROUND(Normy!$G$6*5*Parametry!$B$6/(Parametry!$B$4*(1-Parametry!$B$5)),1))</f>
        <v/>
      </c>
      <c r="N13" s="20">
        <f>IF(Normy!$G$6="","",ROUND(Normy!$G$6*5*Parametry!$B$6/(Parametry!$B$4*(1-Parametry!$B$5)),1))</f>
        <v/>
      </c>
      <c r="O13" s="20">
        <f>IF(Normy!$G$6="","",ROUND(Normy!$G$6*5*Parametry!$B$6/(Parametry!$B$4*(1-Parametry!$B$5)),1))</f>
        <v/>
      </c>
      <c r="P13" s="20">
        <f>IF(Normy!$G$6="","",ROUND(Normy!$G$6*5*Parametry!$B$6/(Parametry!$B$4*(1-Parametry!$B$5)),1))</f>
        <v/>
      </c>
      <c r="Q13" s="20">
        <f>IF(Normy!$G$6="","",ROUND(Normy!$G$6*5*Parametry!$B$6/(Parametry!$B$4*(1-Parametry!$B$5)),1))</f>
        <v/>
      </c>
      <c r="R13" s="20">
        <f>IF(Normy!$G$6="","",ROUND(Normy!$G$6*5*Parametry!$B$6/(Parametry!$B$4*(1-Parametry!$B$5)),1))</f>
        <v/>
      </c>
      <c r="S13" s="20">
        <f>IF(Normy!$G$6="","",ROUND(Normy!$G$6*5*Parametry!$B$6/(Parametry!$B$4*(1-Parametry!$B$5)),1))</f>
        <v/>
      </c>
      <c r="T13" s="20">
        <f>IF(Normy!$G$6="","",ROUND(Normy!$G$6*5*Parametry!$B$6/(Parametry!$B$4*(1-Parametry!$B$5)),1))</f>
        <v/>
      </c>
      <c r="U13" s="20">
        <f>IF(Normy!$G$6="","",ROUND(Normy!$G$6*5*Parametry!$B$6/(Parametry!$B$4*(1-Parametry!$B$5)),1))</f>
        <v/>
      </c>
      <c r="V13" s="20">
        <f>IF(Normy!$G$6="","",ROUND(Normy!$G$6*5*Parametry!$B$6/(Parametry!$B$4*(1-Parametry!$B$5)),1))</f>
        <v/>
      </c>
      <c r="W13" s="20">
        <f>IF(Normy!$G$6="","",ROUND(Normy!$G$6*5*Parametry!$B$6/(Parametry!$B$4*(1-Parametry!$B$5)),1))</f>
        <v/>
      </c>
      <c r="X13" s="20">
        <f>IF(Normy!$G$6="","",ROUND(Normy!$G$6*5*Parametry!$B$6/(Parametry!$B$4*(1-Parametry!$B$5)),1))</f>
        <v/>
      </c>
      <c r="Y13" s="20">
        <f>IF(Normy!$G$6="","",ROUND(Normy!$G$6*5*Parametry!$B$6/(Parametry!$B$4*(1-Parametry!$B$5)),1))</f>
        <v/>
      </c>
      <c r="Z13" s="20">
        <f>IF(Normy!$G$6="","",ROUND(Normy!$G$6*5*Parametry!$B$6/(Parametry!$B$4*(1-Parametry!$B$5)),1))</f>
        <v/>
      </c>
      <c r="AA13" s="20">
        <f>IF(Normy!$G$6="","",ROUND(Normy!$G$6*5*Parametry!$B$6/(Parametry!$B$4*(1-Parametry!$B$5)),1))</f>
        <v/>
      </c>
      <c r="AB13" s="20">
        <f>IF(Normy!$G$6="","",ROUND(Normy!$G$6*5*Parametry!$B$6/(Parametry!$B$4*(1-Parametry!$B$5)),1))</f>
        <v/>
      </c>
      <c r="AC13" s="20">
        <f>IF(Normy!$G$6="","",ROUND(Normy!$G$6*5*Parametry!$B$6/(Parametry!$B$4*(1-Parametry!$B$5)),1))</f>
        <v/>
      </c>
      <c r="AD13" s="20">
        <f>IF(Normy!$G$6="","",ROUND(Normy!$G$6*5*Parametry!$B$6/(Parametry!$B$4*(1-Parametry!$B$5)),1))</f>
        <v/>
      </c>
      <c r="AE13" s="20">
        <f>IF(Normy!$G$6="","",ROUND(Normy!$G$6*5*Parametry!$B$6/(Parametry!$B$4*(1-Parametry!$B$5)),1))</f>
        <v/>
      </c>
      <c r="AF13" s="20">
        <f>IF(Normy!$G$6="","",ROUND(Normy!$G$6*5*Parametry!$B$6/(Parametry!$B$4*(1-Parametry!$B$5)),1))</f>
        <v/>
      </c>
      <c r="AG13" s="20">
        <f>IF(Normy!$G$6="","",ROUND(Normy!$G$6*5*Parametry!$B$6/(Parametry!$B$4*(1-Parametry!$B$5)),1))</f>
        <v/>
      </c>
      <c r="AH13" s="20">
        <f>IF(Normy!$G$6="","",ROUND(Normy!$G$6*5*Parametry!$B$6/(Parametry!$B$4*(1-Parametry!$B$5)),1))</f>
        <v/>
      </c>
      <c r="AI13" s="20">
        <f>IF(Normy!$G$6="","",ROUND(Normy!$G$6*5*Parametry!$B$6/(Parametry!$B$4*(1-Parametry!$B$5)),1))</f>
        <v/>
      </c>
      <c r="AJ13" s="20">
        <f>IF(Normy!$G$6="","",ROUND(Normy!$G$6*5*Parametry!$B$6/(Parametry!$B$4*(1-Parametry!$B$5)),1))</f>
        <v/>
      </c>
      <c r="AK13" s="20">
        <f>IF(Normy!$G$6="","",ROUND(Normy!$G$6*5*Parametry!$B$6/(Parametry!$B$4*(1-Parametry!$B$5)),1))</f>
        <v/>
      </c>
      <c r="AL13" s="20">
        <f>IF(Normy!$G$6="","",ROUND(Normy!$G$6*5*Parametry!$B$6/(Parametry!$B$4*(1-Parametry!$B$5)),1))</f>
        <v/>
      </c>
      <c r="AM13" s="20">
        <f>IF(Normy!$G$6="","",ROUND(Normy!$G$6*5*Parametry!$B$6/(Parametry!$B$4*(1-Parametry!$B$5)),1))</f>
        <v/>
      </c>
      <c r="AN13" s="20">
        <f>IF(Normy!$G$6="","",ROUND(Normy!$G$6*5*Parametry!$B$6/(Parametry!$B$4*(1-Parametry!$B$5)),1))</f>
        <v/>
      </c>
      <c r="AO13" s="20">
        <f>IF(Normy!$G$6="","",ROUND(Normy!$G$6*5*Parametry!$B$6/(Parametry!$B$4*(1-Parametry!$B$5)),1))</f>
        <v/>
      </c>
      <c r="AP13" s="20">
        <f>IF(Normy!$G$6="","",ROUND(Normy!$G$6*5*Parametry!$B$6/(Parametry!$B$4*(1-Parametry!$B$5)),1))</f>
        <v/>
      </c>
      <c r="AQ13" s="20">
        <f>IF(Normy!$G$6="","",ROUND(Normy!$G$6*5*Parametry!$B$6/(Parametry!$B$4*(1-Parametry!$B$5)),1))</f>
        <v/>
      </c>
      <c r="AR13" s="20">
        <f>IF(Normy!$G$6="","",ROUND(Normy!$G$6*5*Parametry!$B$6/(Parametry!$B$4*(1-Parametry!$B$5)),1))</f>
        <v/>
      </c>
      <c r="AS13" s="20">
        <f>IF(Normy!$G$6="","",ROUND(Normy!$G$6*5*Parametry!$B$6/(Parametry!$B$4*(1-Parametry!$B$5)),1))</f>
        <v/>
      </c>
      <c r="AT13" s="20">
        <f>IF(Normy!$G$6="","",ROUND(Normy!$G$6*5*Parametry!$B$6/(Parametry!$B$4*(1-Parametry!$B$5)),1))</f>
        <v/>
      </c>
      <c r="AU13" s="20">
        <f>IF(Normy!$G$6="","",ROUND(Normy!$G$6*5*Parametry!$B$6/(Parametry!$B$4*(1-Parametry!$B$5)),1))</f>
        <v/>
      </c>
      <c r="AV13" s="20">
        <f>IF(Normy!$G$6="","",ROUND(Normy!$G$6*5*Parametry!$B$6/(Parametry!$B$4*(1-Parametry!$B$5)),1))</f>
        <v/>
      </c>
      <c r="AW13" s="20">
        <f>IF(Normy!$G$6="","",ROUND(Normy!$G$6*5*Parametry!$B$6/(Parametry!$B$4*(1-Parametry!$B$5)),1))</f>
        <v/>
      </c>
      <c r="AX13" s="20">
        <f>IF(Normy!$G$6="","",ROUND(Normy!$G$6*5*Parametry!$B$6/(Parametry!$B$4*(1-Parametry!$B$5)),1))</f>
        <v/>
      </c>
      <c r="AY13" s="20">
        <f>IF(Normy!$G$6="","",ROUND(Normy!$G$6*5*Parametry!$B$6/(Parametry!$B$4*(1-Parametry!$B$5)),1))</f>
        <v/>
      </c>
      <c r="AZ13" s="20">
        <f>IF(Normy!$G$6="","",ROUND(Normy!$G$6*5*Parametry!$B$6/(Parametry!$B$4*(1-Parametry!$B$5)),1))</f>
        <v/>
      </c>
      <c r="BA13" s="20">
        <f>IF(Normy!$G$6="","",ROUND(Normy!$G$6*5*Parametry!$B$6/(Parametry!$B$4*(1-Parametry!$B$5)),1))</f>
        <v/>
      </c>
      <c r="BB13" s="20">
        <f>IF(Normy!$G$6="","",ROUND(Normy!$G$6*5*Parametry!$B$6/(Parametry!$B$4*(1-Parametry!$B$5)),1))</f>
        <v/>
      </c>
      <c r="BC13" s="20">
        <f>IF(Normy!$G$6="","",ROUND(Normy!$G$6*5*Parametry!$B$6/(Parametry!$B$4*(1-Parametry!$B$5)),1))</f>
        <v/>
      </c>
      <c r="BD13" s="20">
        <f>IF(Normy!$G$6="","",ROUND(Normy!$G$6*5*Parametry!$B$6/(Parametry!$B$4*(1-Parametry!$B$5)),1))</f>
        <v/>
      </c>
      <c r="BE13" s="20">
        <f>IF(Normy!$G$6="","",ROUND(Normy!$G$6*5*Parametry!$B$6/(Parametry!$B$4*(1-Parametry!$B$5)),1))</f>
        <v/>
      </c>
      <c r="BF13" s="20">
        <f>IF(Normy!$G$6="","",ROUND(Normy!$G$6*5*Parametry!$B$6/(Parametry!$B$4*(1-Parametry!$B$5)),1))</f>
        <v/>
      </c>
      <c r="BG13" s="20">
        <f>IF(Normy!$G$6="","",ROUND(Normy!$G$6*5*Parametry!$B$6/(Parametry!$B$4*(1-Parametry!$B$5)),1))</f>
        <v/>
      </c>
      <c r="BH13" s="20">
        <f>IF(Normy!$G$6="","",ROUND(Normy!$G$6*5*Parametry!$B$6/(Parametry!$B$4*(1-Parametry!$B$5)),1))</f>
        <v/>
      </c>
      <c r="BI13" s="20">
        <f>IF(Normy!$G$6="","",ROUND(Normy!$G$6*5*Parametry!$B$6/(Parametry!$B$4*(1-Parametry!$B$5)),1))</f>
        <v/>
      </c>
      <c r="BJ13" s="20">
        <f>IF(Normy!$G$6="","",ROUND(Normy!$G$6*5*Parametry!$B$6/(Parametry!$B$4*(1-Parametry!$B$5)),1))</f>
        <v/>
      </c>
      <c r="BK13" s="20">
        <f>IF(Normy!$G$6="","",ROUND(Normy!$G$6*5*Parametry!$B$6/(Parametry!$B$4*(1-Parametry!$B$5)),1))</f>
        <v/>
      </c>
      <c r="BL13" s="20">
        <f>IF(Normy!$G$6="","",ROUND(Normy!$G$6*5*Parametry!$B$6/(Parametry!$B$4*(1-Parametry!$B$5)),1))</f>
        <v/>
      </c>
      <c r="BM13" s="20">
        <f>IF(Normy!$G$6="","",ROUND(Normy!$G$6*5*Parametry!$B$6/(Parametry!$B$4*(1-Parametry!$B$5)),1))</f>
        <v/>
      </c>
    </row>
    <row r="14">
      <c r="A14" s="19" t="n"/>
      <c r="B14" s="4" t="inlineStr">
        <is>
          <t>Gap FTE (skut. − potřeba)</t>
        </is>
      </c>
      <c r="C14" s="20">
        <f>IF(OR(C13="",C12=""),"",C13-C12)</f>
        <v/>
      </c>
      <c r="D14" s="20">
        <f>IF(OR(D13="",D12=""),"",D13-D12)</f>
        <v/>
      </c>
      <c r="E14" s="20">
        <f>IF(OR(E13="",E12=""),"",E13-E12)</f>
        <v/>
      </c>
      <c r="F14" s="20">
        <f>IF(OR(F13="",F12=""),"",F13-F12)</f>
        <v/>
      </c>
      <c r="G14" s="20">
        <f>IF(OR(G13="",G12=""),"",G13-G12)</f>
        <v/>
      </c>
      <c r="H14" s="20">
        <f>IF(OR(H13="",H12=""),"",H13-H12)</f>
        <v/>
      </c>
      <c r="I14" s="20">
        <f>IF(OR(I13="",I12=""),"",I13-I12)</f>
        <v/>
      </c>
      <c r="J14" s="20">
        <f>IF(OR(J13="",J12=""),"",J13-J12)</f>
        <v/>
      </c>
      <c r="K14" s="20">
        <f>IF(OR(K13="",K12=""),"",K13-K12)</f>
        <v/>
      </c>
      <c r="L14" s="20">
        <f>IF(OR(L13="",L12=""),"",L13-L12)</f>
        <v/>
      </c>
      <c r="M14" s="20">
        <f>IF(OR(M13="",M12=""),"",M13-M12)</f>
        <v/>
      </c>
      <c r="N14" s="20">
        <f>IF(OR(N13="",N12=""),"",N13-N12)</f>
        <v/>
      </c>
      <c r="O14" s="20">
        <f>IF(OR(O13="",O12=""),"",O13-O12)</f>
        <v/>
      </c>
      <c r="P14" s="20">
        <f>IF(OR(P13="",P12=""),"",P13-P12)</f>
        <v/>
      </c>
      <c r="Q14" s="20">
        <f>IF(OR(Q13="",Q12=""),"",Q13-Q12)</f>
        <v/>
      </c>
      <c r="R14" s="20">
        <f>IF(OR(R13="",R12=""),"",R13-R12)</f>
        <v/>
      </c>
      <c r="S14" s="20">
        <f>IF(OR(S13="",S12=""),"",S13-S12)</f>
        <v/>
      </c>
      <c r="T14" s="20">
        <f>IF(OR(T13="",T12=""),"",T13-T12)</f>
        <v/>
      </c>
      <c r="U14" s="20">
        <f>IF(OR(U13="",U12=""),"",U13-U12)</f>
        <v/>
      </c>
      <c r="V14" s="20">
        <f>IF(OR(V13="",V12=""),"",V13-V12)</f>
        <v/>
      </c>
      <c r="W14" s="20">
        <f>IF(OR(W13="",W12=""),"",W13-W12)</f>
        <v/>
      </c>
      <c r="X14" s="20">
        <f>IF(OR(X13="",X12=""),"",X13-X12)</f>
        <v/>
      </c>
      <c r="Y14" s="20">
        <f>IF(OR(Y13="",Y12=""),"",Y13-Y12)</f>
        <v/>
      </c>
      <c r="Z14" s="20">
        <f>IF(OR(Z13="",Z12=""),"",Z13-Z12)</f>
        <v/>
      </c>
      <c r="AA14" s="20">
        <f>IF(OR(AA13="",AA12=""),"",AA13-AA12)</f>
        <v/>
      </c>
      <c r="AB14" s="20">
        <f>IF(OR(AB13="",AB12=""),"",AB13-AB12)</f>
        <v/>
      </c>
      <c r="AC14" s="20">
        <f>IF(OR(AC13="",AC12=""),"",AC13-AC12)</f>
        <v/>
      </c>
      <c r="AD14" s="20">
        <f>IF(OR(AD13="",AD12=""),"",AD13-AD12)</f>
        <v/>
      </c>
      <c r="AE14" s="20">
        <f>IF(OR(AE13="",AE12=""),"",AE13-AE12)</f>
        <v/>
      </c>
      <c r="AF14" s="20">
        <f>IF(OR(AF13="",AF12=""),"",AF13-AF12)</f>
        <v/>
      </c>
      <c r="AG14" s="20">
        <f>IF(OR(AG13="",AG12=""),"",AG13-AG12)</f>
        <v/>
      </c>
      <c r="AH14" s="20">
        <f>IF(OR(AH13="",AH12=""),"",AH13-AH12)</f>
        <v/>
      </c>
      <c r="AI14" s="20">
        <f>IF(OR(AI13="",AI12=""),"",AI13-AI12)</f>
        <v/>
      </c>
      <c r="AJ14" s="20">
        <f>IF(OR(AJ13="",AJ12=""),"",AJ13-AJ12)</f>
        <v/>
      </c>
      <c r="AK14" s="20">
        <f>IF(OR(AK13="",AK12=""),"",AK13-AK12)</f>
        <v/>
      </c>
      <c r="AL14" s="20">
        <f>IF(OR(AL13="",AL12=""),"",AL13-AL12)</f>
        <v/>
      </c>
      <c r="AM14" s="20">
        <f>IF(OR(AM13="",AM12=""),"",AM13-AM12)</f>
        <v/>
      </c>
      <c r="AN14" s="20">
        <f>IF(OR(AN13="",AN12=""),"",AN13-AN12)</f>
        <v/>
      </c>
      <c r="AO14" s="20">
        <f>IF(OR(AO13="",AO12=""),"",AO13-AO12)</f>
        <v/>
      </c>
      <c r="AP14" s="20">
        <f>IF(OR(AP13="",AP12=""),"",AP13-AP12)</f>
        <v/>
      </c>
      <c r="AQ14" s="20">
        <f>IF(OR(AQ13="",AQ12=""),"",AQ13-AQ12)</f>
        <v/>
      </c>
      <c r="AR14" s="20">
        <f>IF(OR(AR13="",AR12=""),"",AR13-AR12)</f>
        <v/>
      </c>
      <c r="AS14" s="20">
        <f>IF(OR(AS13="",AS12=""),"",AS13-AS12)</f>
        <v/>
      </c>
      <c r="AT14" s="20">
        <f>IF(OR(AT13="",AT12=""),"",AT13-AT12)</f>
        <v/>
      </c>
      <c r="AU14" s="20">
        <f>IF(OR(AU13="",AU12=""),"",AU13-AU12)</f>
        <v/>
      </c>
      <c r="AV14" s="20">
        <f>IF(OR(AV13="",AV12=""),"",AV13-AV12)</f>
        <v/>
      </c>
      <c r="AW14" s="20">
        <f>IF(OR(AW13="",AW12=""),"",AW13-AW12)</f>
        <v/>
      </c>
      <c r="AX14" s="20">
        <f>IF(OR(AX13="",AX12=""),"",AX13-AX12)</f>
        <v/>
      </c>
      <c r="AY14" s="20">
        <f>IF(OR(AY13="",AY12=""),"",AY13-AY12)</f>
        <v/>
      </c>
      <c r="AZ14" s="20">
        <f>IF(OR(AZ13="",AZ12=""),"",AZ13-AZ12)</f>
        <v/>
      </c>
      <c r="BA14" s="20">
        <f>IF(OR(BA13="",BA12=""),"",BA13-BA12)</f>
        <v/>
      </c>
      <c r="BB14" s="20">
        <f>IF(OR(BB13="",BB12=""),"",BB13-BB12)</f>
        <v/>
      </c>
      <c r="BC14" s="20">
        <f>IF(OR(BC13="",BC12=""),"",BC13-BC12)</f>
        <v/>
      </c>
      <c r="BD14" s="20">
        <f>IF(OR(BD13="",BD12=""),"",BD13-BD12)</f>
        <v/>
      </c>
      <c r="BE14" s="20">
        <f>IF(OR(BE13="",BE12=""),"",BE13-BE12)</f>
        <v/>
      </c>
      <c r="BF14" s="20">
        <f>IF(OR(BF13="",BF12=""),"",BF13-BF12)</f>
        <v/>
      </c>
      <c r="BG14" s="20">
        <f>IF(OR(BG13="",BG12=""),"",BG13-BG12)</f>
        <v/>
      </c>
      <c r="BH14" s="20">
        <f>IF(OR(BH13="",BH12=""),"",BH13-BH12)</f>
        <v/>
      </c>
      <c r="BI14" s="20">
        <f>IF(OR(BI13="",BI12=""),"",BI13-BI12)</f>
        <v/>
      </c>
      <c r="BJ14" s="20">
        <f>IF(OR(BJ13="",BJ12=""),"",BJ13-BJ12)</f>
        <v/>
      </c>
      <c r="BK14" s="20">
        <f>IF(OR(BK13="",BK12=""),"",BK13-BK12)</f>
        <v/>
      </c>
      <c r="BL14" s="20">
        <f>IF(OR(BL13="",BL12=""),"",BL13-BL12)</f>
        <v/>
      </c>
      <c r="BM14" s="20">
        <f>IF(OR(BM13="",BM12=""),"",BM13-BM12)</f>
        <v/>
      </c>
    </row>
    <row r="15">
      <c r="A15" s="18" t="inlineStr">
        <is>
          <t>IMM</t>
        </is>
      </c>
      <c r="B15" s="4" t="inlineStr">
        <is>
          <t>Potřebné směny (8h)</t>
        </is>
      </c>
      <c r="C15" s="4">
        <f>IF(OR(Normy!$C$7="",'Volume po lince'!B6=0),"",ROUNDUP('Volume po lince'!B6/(Normy!$C$7*IF(Normy!$D$7="",Parametry!$B$7,Normy!$D$7)),0))</f>
        <v/>
      </c>
      <c r="D15" s="4">
        <f>IF(OR(Normy!$C$7="",'Volume po lince'!C6=0),"",ROUNDUP('Volume po lince'!C6/(Normy!$C$7*IF(Normy!$D$7="",Parametry!$B$7,Normy!$D$7)),0))</f>
        <v/>
      </c>
      <c r="E15" s="4">
        <f>IF(OR(Normy!$C$7="",'Volume po lince'!D6=0),"",ROUNDUP('Volume po lince'!D6/(Normy!$C$7*IF(Normy!$D$7="",Parametry!$B$7,Normy!$D$7)),0))</f>
        <v/>
      </c>
      <c r="F15" s="4">
        <f>IF(OR(Normy!$C$7="",'Volume po lince'!E6=0),"",ROUNDUP('Volume po lince'!E6/(Normy!$C$7*IF(Normy!$D$7="",Parametry!$B$7,Normy!$D$7)),0))</f>
        <v/>
      </c>
      <c r="G15" s="4">
        <f>IF(OR(Normy!$C$7="",'Volume po lince'!F6=0),"",ROUNDUP('Volume po lince'!F6/(Normy!$C$7*IF(Normy!$D$7="",Parametry!$B$7,Normy!$D$7)),0))</f>
        <v/>
      </c>
      <c r="H15" s="4">
        <f>IF(OR(Normy!$C$7="",'Volume po lince'!G6=0),"",ROUNDUP('Volume po lince'!G6/(Normy!$C$7*IF(Normy!$D$7="",Parametry!$B$7,Normy!$D$7)),0))</f>
        <v/>
      </c>
      <c r="I15" s="4">
        <f>IF(OR(Normy!$C$7="",'Volume po lince'!H6=0),"",ROUNDUP('Volume po lince'!H6/(Normy!$C$7*IF(Normy!$D$7="",Parametry!$B$7,Normy!$D$7)),0))</f>
        <v/>
      </c>
      <c r="J15" s="4">
        <f>IF(OR(Normy!$C$7="",'Volume po lince'!I6=0),"",ROUNDUP('Volume po lince'!I6/(Normy!$C$7*IF(Normy!$D$7="",Parametry!$B$7,Normy!$D$7)),0))</f>
        <v/>
      </c>
      <c r="K15" s="4">
        <f>IF(OR(Normy!$C$7="",'Volume po lince'!J6=0),"",ROUNDUP('Volume po lince'!J6/(Normy!$C$7*IF(Normy!$D$7="",Parametry!$B$7,Normy!$D$7)),0))</f>
        <v/>
      </c>
      <c r="L15" s="4">
        <f>IF(OR(Normy!$C$7="",'Volume po lince'!K6=0),"",ROUNDUP('Volume po lince'!K6/(Normy!$C$7*IF(Normy!$D$7="",Parametry!$B$7,Normy!$D$7)),0))</f>
        <v/>
      </c>
      <c r="M15" s="4">
        <f>IF(OR(Normy!$C$7="",'Volume po lince'!L6=0),"",ROUNDUP('Volume po lince'!L6/(Normy!$C$7*IF(Normy!$D$7="",Parametry!$B$7,Normy!$D$7)),0))</f>
        <v/>
      </c>
      <c r="N15" s="4">
        <f>IF(OR(Normy!$C$7="",'Volume po lince'!M6=0),"",ROUNDUP('Volume po lince'!M6/(Normy!$C$7*IF(Normy!$D$7="",Parametry!$B$7,Normy!$D$7)),0))</f>
        <v/>
      </c>
      <c r="O15" s="4">
        <f>IF(OR(Normy!$C$7="",'Volume po lince'!N6=0),"",ROUNDUP('Volume po lince'!N6/(Normy!$C$7*IF(Normy!$D$7="",Parametry!$B$7,Normy!$D$7)),0))</f>
        <v/>
      </c>
      <c r="P15" s="4">
        <f>IF(OR(Normy!$C$7="",'Volume po lince'!O6=0),"",ROUNDUP('Volume po lince'!O6/(Normy!$C$7*IF(Normy!$D$7="",Parametry!$B$7,Normy!$D$7)),0))</f>
        <v/>
      </c>
      <c r="Q15" s="4">
        <f>IF(OR(Normy!$C$7="",'Volume po lince'!P6=0),"",ROUNDUP('Volume po lince'!P6/(Normy!$C$7*IF(Normy!$D$7="",Parametry!$B$7,Normy!$D$7)),0))</f>
        <v/>
      </c>
      <c r="R15" s="4">
        <f>IF(OR(Normy!$C$7="",'Volume po lince'!Q6=0),"",ROUNDUP('Volume po lince'!Q6/(Normy!$C$7*IF(Normy!$D$7="",Parametry!$B$7,Normy!$D$7)),0))</f>
        <v/>
      </c>
      <c r="S15" s="4">
        <f>IF(OR(Normy!$C$7="",'Volume po lince'!R6=0),"",ROUNDUP('Volume po lince'!R6/(Normy!$C$7*IF(Normy!$D$7="",Parametry!$B$7,Normy!$D$7)),0))</f>
        <v/>
      </c>
      <c r="T15" s="4">
        <f>IF(OR(Normy!$C$7="",'Volume po lince'!S6=0),"",ROUNDUP('Volume po lince'!S6/(Normy!$C$7*IF(Normy!$D$7="",Parametry!$B$7,Normy!$D$7)),0))</f>
        <v/>
      </c>
      <c r="U15" s="4">
        <f>IF(OR(Normy!$C$7="",'Volume po lince'!T6=0),"",ROUNDUP('Volume po lince'!T6/(Normy!$C$7*IF(Normy!$D$7="",Parametry!$B$7,Normy!$D$7)),0))</f>
        <v/>
      </c>
      <c r="V15" s="4">
        <f>IF(OR(Normy!$C$7="",'Volume po lince'!U6=0),"",ROUNDUP('Volume po lince'!U6/(Normy!$C$7*IF(Normy!$D$7="",Parametry!$B$7,Normy!$D$7)),0))</f>
        <v/>
      </c>
      <c r="W15" s="4">
        <f>IF(OR(Normy!$C$7="",'Volume po lince'!V6=0),"",ROUNDUP('Volume po lince'!V6/(Normy!$C$7*IF(Normy!$D$7="",Parametry!$B$7,Normy!$D$7)),0))</f>
        <v/>
      </c>
      <c r="X15" s="4">
        <f>IF(OR(Normy!$C$7="",'Volume po lince'!W6=0),"",ROUNDUP('Volume po lince'!W6/(Normy!$C$7*IF(Normy!$D$7="",Parametry!$B$7,Normy!$D$7)),0))</f>
        <v/>
      </c>
      <c r="Y15" s="4">
        <f>IF(OR(Normy!$C$7="",'Volume po lince'!X6=0),"",ROUNDUP('Volume po lince'!X6/(Normy!$C$7*IF(Normy!$D$7="",Parametry!$B$7,Normy!$D$7)),0))</f>
        <v/>
      </c>
      <c r="Z15" s="4">
        <f>IF(OR(Normy!$C$7="",'Volume po lince'!Y6=0),"",ROUNDUP('Volume po lince'!Y6/(Normy!$C$7*IF(Normy!$D$7="",Parametry!$B$7,Normy!$D$7)),0))</f>
        <v/>
      </c>
      <c r="AA15" s="4">
        <f>IF(OR(Normy!$C$7="",'Volume po lince'!Z6=0),"",ROUNDUP('Volume po lince'!Z6/(Normy!$C$7*IF(Normy!$D$7="",Parametry!$B$7,Normy!$D$7)),0))</f>
        <v/>
      </c>
      <c r="AB15" s="4">
        <f>IF(OR(Normy!$C$7="",'Volume po lince'!AA6=0),"",ROUNDUP('Volume po lince'!AA6/(Normy!$C$7*IF(Normy!$D$7="",Parametry!$B$7,Normy!$D$7)),0))</f>
        <v/>
      </c>
      <c r="AC15" s="4">
        <f>IF(OR(Normy!$C$7="",'Volume po lince'!AB6=0),"",ROUNDUP('Volume po lince'!AB6/(Normy!$C$7*IF(Normy!$D$7="",Parametry!$B$7,Normy!$D$7)),0))</f>
        <v/>
      </c>
      <c r="AD15" s="4">
        <f>IF(OR(Normy!$C$7="",'Volume po lince'!AC6=0),"",ROUNDUP('Volume po lince'!AC6/(Normy!$C$7*IF(Normy!$D$7="",Parametry!$B$7,Normy!$D$7)),0))</f>
        <v/>
      </c>
      <c r="AE15" s="4">
        <f>IF(OR(Normy!$C$7="",'Volume po lince'!AD6=0),"",ROUNDUP('Volume po lince'!AD6/(Normy!$C$7*IF(Normy!$D$7="",Parametry!$B$7,Normy!$D$7)),0))</f>
        <v/>
      </c>
      <c r="AF15" s="4">
        <f>IF(OR(Normy!$C$7="",'Volume po lince'!AE6=0),"",ROUNDUP('Volume po lince'!AE6/(Normy!$C$7*IF(Normy!$D$7="",Parametry!$B$7,Normy!$D$7)),0))</f>
        <v/>
      </c>
      <c r="AG15" s="4">
        <f>IF(OR(Normy!$C$7="",'Volume po lince'!AF6=0),"",ROUNDUP('Volume po lince'!AF6/(Normy!$C$7*IF(Normy!$D$7="",Parametry!$B$7,Normy!$D$7)),0))</f>
        <v/>
      </c>
      <c r="AH15" s="4">
        <f>IF(OR(Normy!$C$7="",'Volume po lince'!AG6=0),"",ROUNDUP('Volume po lince'!AG6/(Normy!$C$7*IF(Normy!$D$7="",Parametry!$B$7,Normy!$D$7)),0))</f>
        <v/>
      </c>
      <c r="AI15" s="4">
        <f>IF(OR(Normy!$C$7="",'Volume po lince'!AH6=0),"",ROUNDUP('Volume po lince'!AH6/(Normy!$C$7*IF(Normy!$D$7="",Parametry!$B$7,Normy!$D$7)),0))</f>
        <v/>
      </c>
      <c r="AJ15" s="4">
        <f>IF(OR(Normy!$C$7="",'Volume po lince'!AI6=0),"",ROUNDUP('Volume po lince'!AI6/(Normy!$C$7*IF(Normy!$D$7="",Parametry!$B$7,Normy!$D$7)),0))</f>
        <v/>
      </c>
      <c r="AK15" s="4">
        <f>IF(OR(Normy!$C$7="",'Volume po lince'!AJ6=0),"",ROUNDUP('Volume po lince'!AJ6/(Normy!$C$7*IF(Normy!$D$7="",Parametry!$B$7,Normy!$D$7)),0))</f>
        <v/>
      </c>
      <c r="AL15" s="4">
        <f>IF(OR(Normy!$C$7="",'Volume po lince'!AK6=0),"",ROUNDUP('Volume po lince'!AK6/(Normy!$C$7*IF(Normy!$D$7="",Parametry!$B$7,Normy!$D$7)),0))</f>
        <v/>
      </c>
      <c r="AM15" s="4">
        <f>IF(OR(Normy!$C$7="",'Volume po lince'!AL6=0),"",ROUNDUP('Volume po lince'!AL6/(Normy!$C$7*IF(Normy!$D$7="",Parametry!$B$7,Normy!$D$7)),0))</f>
        <v/>
      </c>
      <c r="AN15" s="4">
        <f>IF(OR(Normy!$C$7="",'Volume po lince'!AM6=0),"",ROUNDUP('Volume po lince'!AM6/(Normy!$C$7*IF(Normy!$D$7="",Parametry!$B$7,Normy!$D$7)),0))</f>
        <v/>
      </c>
      <c r="AO15" s="4">
        <f>IF(OR(Normy!$C$7="",'Volume po lince'!AN6=0),"",ROUNDUP('Volume po lince'!AN6/(Normy!$C$7*IF(Normy!$D$7="",Parametry!$B$7,Normy!$D$7)),0))</f>
        <v/>
      </c>
      <c r="AP15" s="4">
        <f>IF(OR(Normy!$C$7="",'Volume po lince'!AO6=0),"",ROUNDUP('Volume po lince'!AO6/(Normy!$C$7*IF(Normy!$D$7="",Parametry!$B$7,Normy!$D$7)),0))</f>
        <v/>
      </c>
      <c r="AQ15" s="4">
        <f>IF(OR(Normy!$C$7="",'Volume po lince'!AP6=0),"",ROUNDUP('Volume po lince'!AP6/(Normy!$C$7*IF(Normy!$D$7="",Parametry!$B$7,Normy!$D$7)),0))</f>
        <v/>
      </c>
      <c r="AR15" s="4">
        <f>IF(OR(Normy!$C$7="",'Volume po lince'!AQ6=0),"",ROUNDUP('Volume po lince'!AQ6/(Normy!$C$7*IF(Normy!$D$7="",Parametry!$B$7,Normy!$D$7)),0))</f>
        <v/>
      </c>
      <c r="AS15" s="4">
        <f>IF(OR(Normy!$C$7="",'Volume po lince'!AR6=0),"",ROUNDUP('Volume po lince'!AR6/(Normy!$C$7*IF(Normy!$D$7="",Parametry!$B$7,Normy!$D$7)),0))</f>
        <v/>
      </c>
      <c r="AT15" s="4">
        <f>IF(OR(Normy!$C$7="",'Volume po lince'!AS6=0),"",ROUNDUP('Volume po lince'!AS6/(Normy!$C$7*IF(Normy!$D$7="",Parametry!$B$7,Normy!$D$7)),0))</f>
        <v/>
      </c>
      <c r="AU15" s="4">
        <f>IF(OR(Normy!$C$7="",'Volume po lince'!AT6=0),"",ROUNDUP('Volume po lince'!AT6/(Normy!$C$7*IF(Normy!$D$7="",Parametry!$B$7,Normy!$D$7)),0))</f>
        <v/>
      </c>
      <c r="AV15" s="4">
        <f>IF(OR(Normy!$C$7="",'Volume po lince'!AU6=0),"",ROUNDUP('Volume po lince'!AU6/(Normy!$C$7*IF(Normy!$D$7="",Parametry!$B$7,Normy!$D$7)),0))</f>
        <v/>
      </c>
      <c r="AW15" s="4">
        <f>IF(OR(Normy!$C$7="",'Volume po lince'!AV6=0),"",ROUNDUP('Volume po lince'!AV6/(Normy!$C$7*IF(Normy!$D$7="",Parametry!$B$7,Normy!$D$7)),0))</f>
        <v/>
      </c>
      <c r="AX15" s="4">
        <f>IF(OR(Normy!$C$7="",'Volume po lince'!AW6=0),"",ROUNDUP('Volume po lince'!AW6/(Normy!$C$7*IF(Normy!$D$7="",Parametry!$B$7,Normy!$D$7)),0))</f>
        <v/>
      </c>
      <c r="AY15" s="4">
        <f>IF(OR(Normy!$C$7="",'Volume po lince'!AX6=0),"",ROUNDUP('Volume po lince'!AX6/(Normy!$C$7*IF(Normy!$D$7="",Parametry!$B$7,Normy!$D$7)),0))</f>
        <v/>
      </c>
      <c r="AZ15" s="4">
        <f>IF(OR(Normy!$C$7="",'Volume po lince'!AY6=0),"",ROUNDUP('Volume po lince'!AY6/(Normy!$C$7*IF(Normy!$D$7="",Parametry!$B$7,Normy!$D$7)),0))</f>
        <v/>
      </c>
      <c r="BA15" s="4">
        <f>IF(OR(Normy!$C$7="",'Volume po lince'!AZ6=0),"",ROUNDUP('Volume po lince'!AZ6/(Normy!$C$7*IF(Normy!$D$7="",Parametry!$B$7,Normy!$D$7)),0))</f>
        <v/>
      </c>
      <c r="BB15" s="4">
        <f>IF(OR(Normy!$C$7="",'Volume po lince'!BA6=0),"",ROUNDUP('Volume po lince'!BA6/(Normy!$C$7*IF(Normy!$D$7="",Parametry!$B$7,Normy!$D$7)),0))</f>
        <v/>
      </c>
      <c r="BC15" s="4">
        <f>IF(OR(Normy!$C$7="",'Volume po lince'!BB6=0),"",ROUNDUP('Volume po lince'!BB6/(Normy!$C$7*IF(Normy!$D$7="",Parametry!$B$7,Normy!$D$7)),0))</f>
        <v/>
      </c>
      <c r="BD15" s="4">
        <f>IF(OR(Normy!$C$7="",'Volume po lince'!BC6=0),"",ROUNDUP('Volume po lince'!BC6/(Normy!$C$7*IF(Normy!$D$7="",Parametry!$B$7,Normy!$D$7)),0))</f>
        <v/>
      </c>
      <c r="BE15" s="4">
        <f>IF(OR(Normy!$C$7="",'Volume po lince'!BD6=0),"",ROUNDUP('Volume po lince'!BD6/(Normy!$C$7*IF(Normy!$D$7="",Parametry!$B$7,Normy!$D$7)),0))</f>
        <v/>
      </c>
      <c r="BF15" s="4">
        <f>IF(OR(Normy!$C$7="",'Volume po lince'!BE6=0),"",ROUNDUP('Volume po lince'!BE6/(Normy!$C$7*IF(Normy!$D$7="",Parametry!$B$7,Normy!$D$7)),0))</f>
        <v/>
      </c>
      <c r="BG15" s="4">
        <f>IF(OR(Normy!$C$7="",'Volume po lince'!BF6=0),"",ROUNDUP('Volume po lince'!BF6/(Normy!$C$7*IF(Normy!$D$7="",Parametry!$B$7,Normy!$D$7)),0))</f>
        <v/>
      </c>
      <c r="BH15" s="4">
        <f>IF(OR(Normy!$C$7="",'Volume po lince'!BG6=0),"",ROUNDUP('Volume po lince'!BG6/(Normy!$C$7*IF(Normy!$D$7="",Parametry!$B$7,Normy!$D$7)),0))</f>
        <v/>
      </c>
      <c r="BI15" s="4">
        <f>IF(OR(Normy!$C$7="",'Volume po lince'!BH6=0),"",ROUNDUP('Volume po lince'!BH6/(Normy!$C$7*IF(Normy!$D$7="",Parametry!$B$7,Normy!$D$7)),0))</f>
        <v/>
      </c>
      <c r="BJ15" s="4">
        <f>IF(OR(Normy!$C$7="",'Volume po lince'!BI6=0),"",ROUNDUP('Volume po lince'!BI6/(Normy!$C$7*IF(Normy!$D$7="",Parametry!$B$7,Normy!$D$7)),0))</f>
        <v/>
      </c>
      <c r="BK15" s="4">
        <f>IF(OR(Normy!$C$7="",'Volume po lince'!BJ6=0),"",ROUNDUP('Volume po lince'!BJ6/(Normy!$C$7*IF(Normy!$D$7="",Parametry!$B$7,Normy!$D$7)),0))</f>
        <v/>
      </c>
      <c r="BL15" s="4">
        <f>IF(OR(Normy!$C$7="",'Volume po lince'!BK6=0),"",ROUNDUP('Volume po lince'!BK6/(Normy!$C$7*IF(Normy!$D$7="",Parametry!$B$7,Normy!$D$7)),0))</f>
        <v/>
      </c>
      <c r="BM15" s="4">
        <f>IF(OR(Normy!$C$7="",'Volume po lince'!BL6=0),"",ROUNDUP('Volume po lince'!BL6/(Normy!$C$7*IF(Normy!$D$7="",Parametry!$B$7,Normy!$D$7)),0))</f>
        <v/>
      </c>
    </row>
    <row r="16">
      <c r="A16" s="19" t="n"/>
      <c r="B16" s="4" t="inlineStr">
        <is>
          <t>OP-směn</t>
        </is>
      </c>
      <c r="C16" s="4">
        <f>IF(OR(C15="",Normy!$E$7=""),"",C15*Normy!$E$7)</f>
        <v/>
      </c>
      <c r="D16" s="4">
        <f>IF(OR(D15="",Normy!$E$7=""),"",D15*Normy!$E$7)</f>
        <v/>
      </c>
      <c r="E16" s="4">
        <f>IF(OR(E15="",Normy!$E$7=""),"",E15*Normy!$E$7)</f>
        <v/>
      </c>
      <c r="F16" s="4">
        <f>IF(OR(F15="",Normy!$E$7=""),"",F15*Normy!$E$7)</f>
        <v/>
      </c>
      <c r="G16" s="4">
        <f>IF(OR(G15="",Normy!$E$7=""),"",G15*Normy!$E$7)</f>
        <v/>
      </c>
      <c r="H16" s="4">
        <f>IF(OR(H15="",Normy!$E$7=""),"",H15*Normy!$E$7)</f>
        <v/>
      </c>
      <c r="I16" s="4">
        <f>IF(OR(I15="",Normy!$E$7=""),"",I15*Normy!$E$7)</f>
        <v/>
      </c>
      <c r="J16" s="4">
        <f>IF(OR(J15="",Normy!$E$7=""),"",J15*Normy!$E$7)</f>
        <v/>
      </c>
      <c r="K16" s="4">
        <f>IF(OR(K15="",Normy!$E$7=""),"",K15*Normy!$E$7)</f>
        <v/>
      </c>
      <c r="L16" s="4">
        <f>IF(OR(L15="",Normy!$E$7=""),"",L15*Normy!$E$7)</f>
        <v/>
      </c>
      <c r="M16" s="4">
        <f>IF(OR(M15="",Normy!$E$7=""),"",M15*Normy!$E$7)</f>
        <v/>
      </c>
      <c r="N16" s="4">
        <f>IF(OR(N15="",Normy!$E$7=""),"",N15*Normy!$E$7)</f>
        <v/>
      </c>
      <c r="O16" s="4">
        <f>IF(OR(O15="",Normy!$E$7=""),"",O15*Normy!$E$7)</f>
        <v/>
      </c>
      <c r="P16" s="4">
        <f>IF(OR(P15="",Normy!$E$7=""),"",P15*Normy!$E$7)</f>
        <v/>
      </c>
      <c r="Q16" s="4">
        <f>IF(OR(Q15="",Normy!$E$7=""),"",Q15*Normy!$E$7)</f>
        <v/>
      </c>
      <c r="R16" s="4">
        <f>IF(OR(R15="",Normy!$E$7=""),"",R15*Normy!$E$7)</f>
        <v/>
      </c>
      <c r="S16" s="4">
        <f>IF(OR(S15="",Normy!$E$7=""),"",S15*Normy!$E$7)</f>
        <v/>
      </c>
      <c r="T16" s="4">
        <f>IF(OR(T15="",Normy!$E$7=""),"",T15*Normy!$E$7)</f>
        <v/>
      </c>
      <c r="U16" s="4">
        <f>IF(OR(U15="",Normy!$E$7=""),"",U15*Normy!$E$7)</f>
        <v/>
      </c>
      <c r="V16" s="4">
        <f>IF(OR(V15="",Normy!$E$7=""),"",V15*Normy!$E$7)</f>
        <v/>
      </c>
      <c r="W16" s="4">
        <f>IF(OR(W15="",Normy!$E$7=""),"",W15*Normy!$E$7)</f>
        <v/>
      </c>
      <c r="X16" s="4">
        <f>IF(OR(X15="",Normy!$E$7=""),"",X15*Normy!$E$7)</f>
        <v/>
      </c>
      <c r="Y16" s="4">
        <f>IF(OR(Y15="",Normy!$E$7=""),"",Y15*Normy!$E$7)</f>
        <v/>
      </c>
      <c r="Z16" s="4">
        <f>IF(OR(Z15="",Normy!$E$7=""),"",Z15*Normy!$E$7)</f>
        <v/>
      </c>
      <c r="AA16" s="4">
        <f>IF(OR(AA15="",Normy!$E$7=""),"",AA15*Normy!$E$7)</f>
        <v/>
      </c>
      <c r="AB16" s="4">
        <f>IF(OR(AB15="",Normy!$E$7=""),"",AB15*Normy!$E$7)</f>
        <v/>
      </c>
      <c r="AC16" s="4">
        <f>IF(OR(AC15="",Normy!$E$7=""),"",AC15*Normy!$E$7)</f>
        <v/>
      </c>
      <c r="AD16" s="4">
        <f>IF(OR(AD15="",Normy!$E$7=""),"",AD15*Normy!$E$7)</f>
        <v/>
      </c>
      <c r="AE16" s="4">
        <f>IF(OR(AE15="",Normy!$E$7=""),"",AE15*Normy!$E$7)</f>
        <v/>
      </c>
      <c r="AF16" s="4">
        <f>IF(OR(AF15="",Normy!$E$7=""),"",AF15*Normy!$E$7)</f>
        <v/>
      </c>
      <c r="AG16" s="4">
        <f>IF(OR(AG15="",Normy!$E$7=""),"",AG15*Normy!$E$7)</f>
        <v/>
      </c>
      <c r="AH16" s="4">
        <f>IF(OR(AH15="",Normy!$E$7=""),"",AH15*Normy!$E$7)</f>
        <v/>
      </c>
      <c r="AI16" s="4">
        <f>IF(OR(AI15="",Normy!$E$7=""),"",AI15*Normy!$E$7)</f>
        <v/>
      </c>
      <c r="AJ16" s="4">
        <f>IF(OR(AJ15="",Normy!$E$7=""),"",AJ15*Normy!$E$7)</f>
        <v/>
      </c>
      <c r="AK16" s="4">
        <f>IF(OR(AK15="",Normy!$E$7=""),"",AK15*Normy!$E$7)</f>
        <v/>
      </c>
      <c r="AL16" s="4">
        <f>IF(OR(AL15="",Normy!$E$7=""),"",AL15*Normy!$E$7)</f>
        <v/>
      </c>
      <c r="AM16" s="4">
        <f>IF(OR(AM15="",Normy!$E$7=""),"",AM15*Normy!$E$7)</f>
        <v/>
      </c>
      <c r="AN16" s="4">
        <f>IF(OR(AN15="",Normy!$E$7=""),"",AN15*Normy!$E$7)</f>
        <v/>
      </c>
      <c r="AO16" s="4">
        <f>IF(OR(AO15="",Normy!$E$7=""),"",AO15*Normy!$E$7)</f>
        <v/>
      </c>
      <c r="AP16" s="4">
        <f>IF(OR(AP15="",Normy!$E$7=""),"",AP15*Normy!$E$7)</f>
        <v/>
      </c>
      <c r="AQ16" s="4">
        <f>IF(OR(AQ15="",Normy!$E$7=""),"",AQ15*Normy!$E$7)</f>
        <v/>
      </c>
      <c r="AR16" s="4">
        <f>IF(OR(AR15="",Normy!$E$7=""),"",AR15*Normy!$E$7)</f>
        <v/>
      </c>
      <c r="AS16" s="4">
        <f>IF(OR(AS15="",Normy!$E$7=""),"",AS15*Normy!$E$7)</f>
        <v/>
      </c>
      <c r="AT16" s="4">
        <f>IF(OR(AT15="",Normy!$E$7=""),"",AT15*Normy!$E$7)</f>
        <v/>
      </c>
      <c r="AU16" s="4">
        <f>IF(OR(AU15="",Normy!$E$7=""),"",AU15*Normy!$E$7)</f>
        <v/>
      </c>
      <c r="AV16" s="4">
        <f>IF(OR(AV15="",Normy!$E$7=""),"",AV15*Normy!$E$7)</f>
        <v/>
      </c>
      <c r="AW16" s="4">
        <f>IF(OR(AW15="",Normy!$E$7=""),"",AW15*Normy!$E$7)</f>
        <v/>
      </c>
      <c r="AX16" s="4">
        <f>IF(OR(AX15="",Normy!$E$7=""),"",AX15*Normy!$E$7)</f>
        <v/>
      </c>
      <c r="AY16" s="4">
        <f>IF(OR(AY15="",Normy!$E$7=""),"",AY15*Normy!$E$7)</f>
        <v/>
      </c>
      <c r="AZ16" s="4">
        <f>IF(OR(AZ15="",Normy!$E$7=""),"",AZ15*Normy!$E$7)</f>
        <v/>
      </c>
      <c r="BA16" s="4">
        <f>IF(OR(BA15="",Normy!$E$7=""),"",BA15*Normy!$E$7)</f>
        <v/>
      </c>
      <c r="BB16" s="4">
        <f>IF(OR(BB15="",Normy!$E$7=""),"",BB15*Normy!$E$7)</f>
        <v/>
      </c>
      <c r="BC16" s="4">
        <f>IF(OR(BC15="",Normy!$E$7=""),"",BC15*Normy!$E$7)</f>
        <v/>
      </c>
      <c r="BD16" s="4">
        <f>IF(OR(BD15="",Normy!$E$7=""),"",BD15*Normy!$E$7)</f>
        <v/>
      </c>
      <c r="BE16" s="4">
        <f>IF(OR(BE15="",Normy!$E$7=""),"",BE15*Normy!$E$7)</f>
        <v/>
      </c>
      <c r="BF16" s="4">
        <f>IF(OR(BF15="",Normy!$E$7=""),"",BF15*Normy!$E$7)</f>
        <v/>
      </c>
      <c r="BG16" s="4">
        <f>IF(OR(BG15="",Normy!$E$7=""),"",BG15*Normy!$E$7)</f>
        <v/>
      </c>
      <c r="BH16" s="4">
        <f>IF(OR(BH15="",Normy!$E$7=""),"",BH15*Normy!$E$7)</f>
        <v/>
      </c>
      <c r="BI16" s="4">
        <f>IF(OR(BI15="",Normy!$E$7=""),"",BI15*Normy!$E$7)</f>
        <v/>
      </c>
      <c r="BJ16" s="4">
        <f>IF(OR(BJ15="",Normy!$E$7=""),"",BJ15*Normy!$E$7)</f>
        <v/>
      </c>
      <c r="BK16" s="4">
        <f>IF(OR(BK15="",Normy!$E$7=""),"",BK15*Normy!$E$7)</f>
        <v/>
      </c>
      <c r="BL16" s="4">
        <f>IF(OR(BL15="",Normy!$E$7=""),"",BL15*Normy!$E$7)</f>
        <v/>
      </c>
      <c r="BM16" s="4">
        <f>IF(OR(BM15="",Normy!$E$7=""),"",BM15*Normy!$E$7)</f>
        <v/>
      </c>
    </row>
    <row r="17">
      <c r="A17" s="19" t="n"/>
      <c r="B17" s="4" t="inlineStr">
        <is>
          <t>Potřeba FTE DL</t>
        </is>
      </c>
      <c r="C17" s="4">
        <f>IF(C16="","",ROUND(C16*Parametry!$B$6/(Parametry!$B$4*(1-Parametry!$B$5)),1))</f>
        <v/>
      </c>
      <c r="D17" s="4">
        <f>IF(D16="","",ROUND(D16*Parametry!$B$6/(Parametry!$B$4*(1-Parametry!$B$5)),1))</f>
        <v/>
      </c>
      <c r="E17" s="4">
        <f>IF(E16="","",ROUND(E16*Parametry!$B$6/(Parametry!$B$4*(1-Parametry!$B$5)),1))</f>
        <v/>
      </c>
      <c r="F17" s="4">
        <f>IF(F16="","",ROUND(F16*Parametry!$B$6/(Parametry!$B$4*(1-Parametry!$B$5)),1))</f>
        <v/>
      </c>
      <c r="G17" s="4">
        <f>IF(G16="","",ROUND(G16*Parametry!$B$6/(Parametry!$B$4*(1-Parametry!$B$5)),1))</f>
        <v/>
      </c>
      <c r="H17" s="4">
        <f>IF(H16="","",ROUND(H16*Parametry!$B$6/(Parametry!$B$4*(1-Parametry!$B$5)),1))</f>
        <v/>
      </c>
      <c r="I17" s="4">
        <f>IF(I16="","",ROUND(I16*Parametry!$B$6/(Parametry!$B$4*(1-Parametry!$B$5)),1))</f>
        <v/>
      </c>
      <c r="J17" s="4">
        <f>IF(J16="","",ROUND(J16*Parametry!$B$6/(Parametry!$B$4*(1-Parametry!$B$5)),1))</f>
        <v/>
      </c>
      <c r="K17" s="4">
        <f>IF(K16="","",ROUND(K16*Parametry!$B$6/(Parametry!$B$4*(1-Parametry!$B$5)),1))</f>
        <v/>
      </c>
      <c r="L17" s="4">
        <f>IF(L16="","",ROUND(L16*Parametry!$B$6/(Parametry!$B$4*(1-Parametry!$B$5)),1))</f>
        <v/>
      </c>
      <c r="M17" s="4">
        <f>IF(M16="","",ROUND(M16*Parametry!$B$6/(Parametry!$B$4*(1-Parametry!$B$5)),1))</f>
        <v/>
      </c>
      <c r="N17" s="4">
        <f>IF(N16="","",ROUND(N16*Parametry!$B$6/(Parametry!$B$4*(1-Parametry!$B$5)),1))</f>
        <v/>
      </c>
      <c r="O17" s="4">
        <f>IF(O16="","",ROUND(O16*Parametry!$B$6/(Parametry!$B$4*(1-Parametry!$B$5)),1))</f>
        <v/>
      </c>
      <c r="P17" s="4">
        <f>IF(P16="","",ROUND(P16*Parametry!$B$6/(Parametry!$B$4*(1-Parametry!$B$5)),1))</f>
        <v/>
      </c>
      <c r="Q17" s="4">
        <f>IF(Q16="","",ROUND(Q16*Parametry!$B$6/(Parametry!$B$4*(1-Parametry!$B$5)),1))</f>
        <v/>
      </c>
      <c r="R17" s="4">
        <f>IF(R16="","",ROUND(R16*Parametry!$B$6/(Parametry!$B$4*(1-Parametry!$B$5)),1))</f>
        <v/>
      </c>
      <c r="S17" s="4">
        <f>IF(S16="","",ROUND(S16*Parametry!$B$6/(Parametry!$B$4*(1-Parametry!$B$5)),1))</f>
        <v/>
      </c>
      <c r="T17" s="4">
        <f>IF(T16="","",ROUND(T16*Parametry!$B$6/(Parametry!$B$4*(1-Parametry!$B$5)),1))</f>
        <v/>
      </c>
      <c r="U17" s="4">
        <f>IF(U16="","",ROUND(U16*Parametry!$B$6/(Parametry!$B$4*(1-Parametry!$B$5)),1))</f>
        <v/>
      </c>
      <c r="V17" s="4">
        <f>IF(V16="","",ROUND(V16*Parametry!$B$6/(Parametry!$B$4*(1-Parametry!$B$5)),1))</f>
        <v/>
      </c>
      <c r="W17" s="4">
        <f>IF(W16="","",ROUND(W16*Parametry!$B$6/(Parametry!$B$4*(1-Parametry!$B$5)),1))</f>
        <v/>
      </c>
      <c r="X17" s="4">
        <f>IF(X16="","",ROUND(X16*Parametry!$B$6/(Parametry!$B$4*(1-Parametry!$B$5)),1))</f>
        <v/>
      </c>
      <c r="Y17" s="4">
        <f>IF(Y16="","",ROUND(Y16*Parametry!$B$6/(Parametry!$B$4*(1-Parametry!$B$5)),1))</f>
        <v/>
      </c>
      <c r="Z17" s="4">
        <f>IF(Z16="","",ROUND(Z16*Parametry!$B$6/(Parametry!$B$4*(1-Parametry!$B$5)),1))</f>
        <v/>
      </c>
      <c r="AA17" s="4">
        <f>IF(AA16="","",ROUND(AA16*Parametry!$B$6/(Parametry!$B$4*(1-Parametry!$B$5)),1))</f>
        <v/>
      </c>
      <c r="AB17" s="4">
        <f>IF(AB16="","",ROUND(AB16*Parametry!$B$6/(Parametry!$B$4*(1-Parametry!$B$5)),1))</f>
        <v/>
      </c>
      <c r="AC17" s="4">
        <f>IF(AC16="","",ROUND(AC16*Parametry!$B$6/(Parametry!$B$4*(1-Parametry!$B$5)),1))</f>
        <v/>
      </c>
      <c r="AD17" s="4">
        <f>IF(AD16="","",ROUND(AD16*Parametry!$B$6/(Parametry!$B$4*(1-Parametry!$B$5)),1))</f>
        <v/>
      </c>
      <c r="AE17" s="4">
        <f>IF(AE16="","",ROUND(AE16*Parametry!$B$6/(Parametry!$B$4*(1-Parametry!$B$5)),1))</f>
        <v/>
      </c>
      <c r="AF17" s="4">
        <f>IF(AF16="","",ROUND(AF16*Parametry!$B$6/(Parametry!$B$4*(1-Parametry!$B$5)),1))</f>
        <v/>
      </c>
      <c r="AG17" s="4">
        <f>IF(AG16="","",ROUND(AG16*Parametry!$B$6/(Parametry!$B$4*(1-Parametry!$B$5)),1))</f>
        <v/>
      </c>
      <c r="AH17" s="4">
        <f>IF(AH16="","",ROUND(AH16*Parametry!$B$6/(Parametry!$B$4*(1-Parametry!$B$5)),1))</f>
        <v/>
      </c>
      <c r="AI17" s="4">
        <f>IF(AI16="","",ROUND(AI16*Parametry!$B$6/(Parametry!$B$4*(1-Parametry!$B$5)),1))</f>
        <v/>
      </c>
      <c r="AJ17" s="4">
        <f>IF(AJ16="","",ROUND(AJ16*Parametry!$B$6/(Parametry!$B$4*(1-Parametry!$B$5)),1))</f>
        <v/>
      </c>
      <c r="AK17" s="4">
        <f>IF(AK16="","",ROUND(AK16*Parametry!$B$6/(Parametry!$B$4*(1-Parametry!$B$5)),1))</f>
        <v/>
      </c>
      <c r="AL17" s="4">
        <f>IF(AL16="","",ROUND(AL16*Parametry!$B$6/(Parametry!$B$4*(1-Parametry!$B$5)),1))</f>
        <v/>
      </c>
      <c r="AM17" s="4">
        <f>IF(AM16="","",ROUND(AM16*Parametry!$B$6/(Parametry!$B$4*(1-Parametry!$B$5)),1))</f>
        <v/>
      </c>
      <c r="AN17" s="4">
        <f>IF(AN16="","",ROUND(AN16*Parametry!$B$6/(Parametry!$B$4*(1-Parametry!$B$5)),1))</f>
        <v/>
      </c>
      <c r="AO17" s="4">
        <f>IF(AO16="","",ROUND(AO16*Parametry!$B$6/(Parametry!$B$4*(1-Parametry!$B$5)),1))</f>
        <v/>
      </c>
      <c r="AP17" s="4">
        <f>IF(AP16="","",ROUND(AP16*Parametry!$B$6/(Parametry!$B$4*(1-Parametry!$B$5)),1))</f>
        <v/>
      </c>
      <c r="AQ17" s="4">
        <f>IF(AQ16="","",ROUND(AQ16*Parametry!$B$6/(Parametry!$B$4*(1-Parametry!$B$5)),1))</f>
        <v/>
      </c>
      <c r="AR17" s="4">
        <f>IF(AR16="","",ROUND(AR16*Parametry!$B$6/(Parametry!$B$4*(1-Parametry!$B$5)),1))</f>
        <v/>
      </c>
      <c r="AS17" s="4">
        <f>IF(AS16="","",ROUND(AS16*Parametry!$B$6/(Parametry!$B$4*(1-Parametry!$B$5)),1))</f>
        <v/>
      </c>
      <c r="AT17" s="4">
        <f>IF(AT16="","",ROUND(AT16*Parametry!$B$6/(Parametry!$B$4*(1-Parametry!$B$5)),1))</f>
        <v/>
      </c>
      <c r="AU17" s="4">
        <f>IF(AU16="","",ROUND(AU16*Parametry!$B$6/(Parametry!$B$4*(1-Parametry!$B$5)),1))</f>
        <v/>
      </c>
      <c r="AV17" s="4">
        <f>IF(AV16="","",ROUND(AV16*Parametry!$B$6/(Parametry!$B$4*(1-Parametry!$B$5)),1))</f>
        <v/>
      </c>
      <c r="AW17" s="4">
        <f>IF(AW16="","",ROUND(AW16*Parametry!$B$6/(Parametry!$B$4*(1-Parametry!$B$5)),1))</f>
        <v/>
      </c>
      <c r="AX17" s="4">
        <f>IF(AX16="","",ROUND(AX16*Parametry!$B$6/(Parametry!$B$4*(1-Parametry!$B$5)),1))</f>
        <v/>
      </c>
      <c r="AY17" s="4">
        <f>IF(AY16="","",ROUND(AY16*Parametry!$B$6/(Parametry!$B$4*(1-Parametry!$B$5)),1))</f>
        <v/>
      </c>
      <c r="AZ17" s="4">
        <f>IF(AZ16="","",ROUND(AZ16*Parametry!$B$6/(Parametry!$B$4*(1-Parametry!$B$5)),1))</f>
        <v/>
      </c>
      <c r="BA17" s="4">
        <f>IF(BA16="","",ROUND(BA16*Parametry!$B$6/(Parametry!$B$4*(1-Parametry!$B$5)),1))</f>
        <v/>
      </c>
      <c r="BB17" s="4">
        <f>IF(BB16="","",ROUND(BB16*Parametry!$B$6/(Parametry!$B$4*(1-Parametry!$B$5)),1))</f>
        <v/>
      </c>
      <c r="BC17" s="4">
        <f>IF(BC16="","",ROUND(BC16*Parametry!$B$6/(Parametry!$B$4*(1-Parametry!$B$5)),1))</f>
        <v/>
      </c>
      <c r="BD17" s="4">
        <f>IF(BD16="","",ROUND(BD16*Parametry!$B$6/(Parametry!$B$4*(1-Parametry!$B$5)),1))</f>
        <v/>
      </c>
      <c r="BE17" s="4">
        <f>IF(BE16="","",ROUND(BE16*Parametry!$B$6/(Parametry!$B$4*(1-Parametry!$B$5)),1))</f>
        <v/>
      </c>
      <c r="BF17" s="4">
        <f>IF(BF16="","",ROUND(BF16*Parametry!$B$6/(Parametry!$B$4*(1-Parametry!$B$5)),1))</f>
        <v/>
      </c>
      <c r="BG17" s="4">
        <f>IF(BG16="","",ROUND(BG16*Parametry!$B$6/(Parametry!$B$4*(1-Parametry!$B$5)),1))</f>
        <v/>
      </c>
      <c r="BH17" s="4">
        <f>IF(BH16="","",ROUND(BH16*Parametry!$B$6/(Parametry!$B$4*(1-Parametry!$B$5)),1))</f>
        <v/>
      </c>
      <c r="BI17" s="4">
        <f>IF(BI16="","",ROUND(BI16*Parametry!$B$6/(Parametry!$B$4*(1-Parametry!$B$5)),1))</f>
        <v/>
      </c>
      <c r="BJ17" s="4">
        <f>IF(BJ16="","",ROUND(BJ16*Parametry!$B$6/(Parametry!$B$4*(1-Parametry!$B$5)),1))</f>
        <v/>
      </c>
      <c r="BK17" s="4">
        <f>IF(BK16="","",ROUND(BK16*Parametry!$B$6/(Parametry!$B$4*(1-Parametry!$B$5)),1))</f>
        <v/>
      </c>
      <c r="BL17" s="4">
        <f>IF(BL16="","",ROUND(BL16*Parametry!$B$6/(Parametry!$B$4*(1-Parametry!$B$5)),1))</f>
        <v/>
      </c>
      <c r="BM17" s="4">
        <f>IF(BM16="","",ROUND(BM16*Parametry!$B$6/(Parametry!$B$4*(1-Parametry!$B$5)),1))</f>
        <v/>
      </c>
    </row>
    <row r="18">
      <c r="A18" s="19" t="n"/>
      <c r="B18" s="4" t="inlineStr">
        <is>
          <t>Skutečnost FTE</t>
        </is>
      </c>
      <c r="C18" s="20">
        <f>IF(Normy!$G$7="","",ROUND(Normy!$G$7*5*Parametry!$B$6/(Parametry!$B$4*(1-Parametry!$B$5)),1))</f>
        <v/>
      </c>
      <c r="D18" s="20">
        <f>IF(Normy!$G$7="","",ROUND(Normy!$G$7*5*Parametry!$B$6/(Parametry!$B$4*(1-Parametry!$B$5)),1))</f>
        <v/>
      </c>
      <c r="E18" s="20">
        <f>IF(Normy!$G$7="","",ROUND(Normy!$G$7*5*Parametry!$B$6/(Parametry!$B$4*(1-Parametry!$B$5)),1))</f>
        <v/>
      </c>
      <c r="F18" s="20">
        <f>IF(Normy!$G$7="","",ROUND(Normy!$G$7*5*Parametry!$B$6/(Parametry!$B$4*(1-Parametry!$B$5)),1))</f>
        <v/>
      </c>
      <c r="G18" s="20">
        <f>IF(Normy!$G$7="","",ROUND(Normy!$G$7*5*Parametry!$B$6/(Parametry!$B$4*(1-Parametry!$B$5)),1))</f>
        <v/>
      </c>
      <c r="H18" s="20">
        <f>IF(Normy!$G$7="","",ROUND(Normy!$G$7*5*Parametry!$B$6/(Parametry!$B$4*(1-Parametry!$B$5)),1))</f>
        <v/>
      </c>
      <c r="I18" s="20">
        <f>IF(Normy!$G$7="","",ROUND(Normy!$G$7*5*Parametry!$B$6/(Parametry!$B$4*(1-Parametry!$B$5)),1))</f>
        <v/>
      </c>
      <c r="J18" s="20">
        <f>IF(Normy!$G$7="","",ROUND(Normy!$G$7*5*Parametry!$B$6/(Parametry!$B$4*(1-Parametry!$B$5)),1))</f>
        <v/>
      </c>
      <c r="K18" s="20">
        <f>IF(Normy!$G$7="","",ROUND(Normy!$G$7*5*Parametry!$B$6/(Parametry!$B$4*(1-Parametry!$B$5)),1))</f>
        <v/>
      </c>
      <c r="L18" s="20">
        <f>IF(Normy!$G$7="","",ROUND(Normy!$G$7*5*Parametry!$B$6/(Parametry!$B$4*(1-Parametry!$B$5)),1))</f>
        <v/>
      </c>
      <c r="M18" s="20">
        <f>IF(Normy!$G$7="","",ROUND(Normy!$G$7*5*Parametry!$B$6/(Parametry!$B$4*(1-Parametry!$B$5)),1))</f>
        <v/>
      </c>
      <c r="N18" s="20">
        <f>IF(Normy!$G$7="","",ROUND(Normy!$G$7*5*Parametry!$B$6/(Parametry!$B$4*(1-Parametry!$B$5)),1))</f>
        <v/>
      </c>
      <c r="O18" s="20">
        <f>IF(Normy!$G$7="","",ROUND(Normy!$G$7*5*Parametry!$B$6/(Parametry!$B$4*(1-Parametry!$B$5)),1))</f>
        <v/>
      </c>
      <c r="P18" s="20">
        <f>IF(Normy!$G$7="","",ROUND(Normy!$G$7*5*Parametry!$B$6/(Parametry!$B$4*(1-Parametry!$B$5)),1))</f>
        <v/>
      </c>
      <c r="Q18" s="20">
        <f>IF(Normy!$G$7="","",ROUND(Normy!$G$7*5*Parametry!$B$6/(Parametry!$B$4*(1-Parametry!$B$5)),1))</f>
        <v/>
      </c>
      <c r="R18" s="20">
        <f>IF(Normy!$G$7="","",ROUND(Normy!$G$7*5*Parametry!$B$6/(Parametry!$B$4*(1-Parametry!$B$5)),1))</f>
        <v/>
      </c>
      <c r="S18" s="20">
        <f>IF(Normy!$G$7="","",ROUND(Normy!$G$7*5*Parametry!$B$6/(Parametry!$B$4*(1-Parametry!$B$5)),1))</f>
        <v/>
      </c>
      <c r="T18" s="20">
        <f>IF(Normy!$G$7="","",ROUND(Normy!$G$7*5*Parametry!$B$6/(Parametry!$B$4*(1-Parametry!$B$5)),1))</f>
        <v/>
      </c>
      <c r="U18" s="20">
        <f>IF(Normy!$G$7="","",ROUND(Normy!$G$7*5*Parametry!$B$6/(Parametry!$B$4*(1-Parametry!$B$5)),1))</f>
        <v/>
      </c>
      <c r="V18" s="20">
        <f>IF(Normy!$G$7="","",ROUND(Normy!$G$7*5*Parametry!$B$6/(Parametry!$B$4*(1-Parametry!$B$5)),1))</f>
        <v/>
      </c>
      <c r="W18" s="20">
        <f>IF(Normy!$G$7="","",ROUND(Normy!$G$7*5*Parametry!$B$6/(Parametry!$B$4*(1-Parametry!$B$5)),1))</f>
        <v/>
      </c>
      <c r="X18" s="20">
        <f>IF(Normy!$G$7="","",ROUND(Normy!$G$7*5*Parametry!$B$6/(Parametry!$B$4*(1-Parametry!$B$5)),1))</f>
        <v/>
      </c>
      <c r="Y18" s="20">
        <f>IF(Normy!$G$7="","",ROUND(Normy!$G$7*5*Parametry!$B$6/(Parametry!$B$4*(1-Parametry!$B$5)),1))</f>
        <v/>
      </c>
      <c r="Z18" s="20">
        <f>IF(Normy!$G$7="","",ROUND(Normy!$G$7*5*Parametry!$B$6/(Parametry!$B$4*(1-Parametry!$B$5)),1))</f>
        <v/>
      </c>
      <c r="AA18" s="20">
        <f>IF(Normy!$G$7="","",ROUND(Normy!$G$7*5*Parametry!$B$6/(Parametry!$B$4*(1-Parametry!$B$5)),1))</f>
        <v/>
      </c>
      <c r="AB18" s="20">
        <f>IF(Normy!$G$7="","",ROUND(Normy!$G$7*5*Parametry!$B$6/(Parametry!$B$4*(1-Parametry!$B$5)),1))</f>
        <v/>
      </c>
      <c r="AC18" s="20">
        <f>IF(Normy!$G$7="","",ROUND(Normy!$G$7*5*Parametry!$B$6/(Parametry!$B$4*(1-Parametry!$B$5)),1))</f>
        <v/>
      </c>
      <c r="AD18" s="20">
        <f>IF(Normy!$G$7="","",ROUND(Normy!$G$7*5*Parametry!$B$6/(Parametry!$B$4*(1-Parametry!$B$5)),1))</f>
        <v/>
      </c>
      <c r="AE18" s="20">
        <f>IF(Normy!$G$7="","",ROUND(Normy!$G$7*5*Parametry!$B$6/(Parametry!$B$4*(1-Parametry!$B$5)),1))</f>
        <v/>
      </c>
      <c r="AF18" s="20">
        <f>IF(Normy!$G$7="","",ROUND(Normy!$G$7*5*Parametry!$B$6/(Parametry!$B$4*(1-Parametry!$B$5)),1))</f>
        <v/>
      </c>
      <c r="AG18" s="20">
        <f>IF(Normy!$G$7="","",ROUND(Normy!$G$7*5*Parametry!$B$6/(Parametry!$B$4*(1-Parametry!$B$5)),1))</f>
        <v/>
      </c>
      <c r="AH18" s="20">
        <f>IF(Normy!$G$7="","",ROUND(Normy!$G$7*5*Parametry!$B$6/(Parametry!$B$4*(1-Parametry!$B$5)),1))</f>
        <v/>
      </c>
      <c r="AI18" s="20">
        <f>IF(Normy!$G$7="","",ROUND(Normy!$G$7*5*Parametry!$B$6/(Parametry!$B$4*(1-Parametry!$B$5)),1))</f>
        <v/>
      </c>
      <c r="AJ18" s="20">
        <f>IF(Normy!$G$7="","",ROUND(Normy!$G$7*5*Parametry!$B$6/(Parametry!$B$4*(1-Parametry!$B$5)),1))</f>
        <v/>
      </c>
      <c r="AK18" s="20">
        <f>IF(Normy!$G$7="","",ROUND(Normy!$G$7*5*Parametry!$B$6/(Parametry!$B$4*(1-Parametry!$B$5)),1))</f>
        <v/>
      </c>
      <c r="AL18" s="20">
        <f>IF(Normy!$G$7="","",ROUND(Normy!$G$7*5*Parametry!$B$6/(Parametry!$B$4*(1-Parametry!$B$5)),1))</f>
        <v/>
      </c>
      <c r="AM18" s="20">
        <f>IF(Normy!$G$7="","",ROUND(Normy!$G$7*5*Parametry!$B$6/(Parametry!$B$4*(1-Parametry!$B$5)),1))</f>
        <v/>
      </c>
      <c r="AN18" s="20">
        <f>IF(Normy!$G$7="","",ROUND(Normy!$G$7*5*Parametry!$B$6/(Parametry!$B$4*(1-Parametry!$B$5)),1))</f>
        <v/>
      </c>
      <c r="AO18" s="20">
        <f>IF(Normy!$G$7="","",ROUND(Normy!$G$7*5*Parametry!$B$6/(Parametry!$B$4*(1-Parametry!$B$5)),1))</f>
        <v/>
      </c>
      <c r="AP18" s="20">
        <f>IF(Normy!$G$7="","",ROUND(Normy!$G$7*5*Parametry!$B$6/(Parametry!$B$4*(1-Parametry!$B$5)),1))</f>
        <v/>
      </c>
      <c r="AQ18" s="20">
        <f>IF(Normy!$G$7="","",ROUND(Normy!$G$7*5*Parametry!$B$6/(Parametry!$B$4*(1-Parametry!$B$5)),1))</f>
        <v/>
      </c>
      <c r="AR18" s="20">
        <f>IF(Normy!$G$7="","",ROUND(Normy!$G$7*5*Parametry!$B$6/(Parametry!$B$4*(1-Parametry!$B$5)),1))</f>
        <v/>
      </c>
      <c r="AS18" s="20">
        <f>IF(Normy!$G$7="","",ROUND(Normy!$G$7*5*Parametry!$B$6/(Parametry!$B$4*(1-Parametry!$B$5)),1))</f>
        <v/>
      </c>
      <c r="AT18" s="20">
        <f>IF(Normy!$G$7="","",ROUND(Normy!$G$7*5*Parametry!$B$6/(Parametry!$B$4*(1-Parametry!$B$5)),1))</f>
        <v/>
      </c>
      <c r="AU18" s="20">
        <f>IF(Normy!$G$7="","",ROUND(Normy!$G$7*5*Parametry!$B$6/(Parametry!$B$4*(1-Parametry!$B$5)),1))</f>
        <v/>
      </c>
      <c r="AV18" s="20">
        <f>IF(Normy!$G$7="","",ROUND(Normy!$G$7*5*Parametry!$B$6/(Parametry!$B$4*(1-Parametry!$B$5)),1))</f>
        <v/>
      </c>
      <c r="AW18" s="20">
        <f>IF(Normy!$G$7="","",ROUND(Normy!$G$7*5*Parametry!$B$6/(Parametry!$B$4*(1-Parametry!$B$5)),1))</f>
        <v/>
      </c>
      <c r="AX18" s="20">
        <f>IF(Normy!$G$7="","",ROUND(Normy!$G$7*5*Parametry!$B$6/(Parametry!$B$4*(1-Parametry!$B$5)),1))</f>
        <v/>
      </c>
      <c r="AY18" s="20">
        <f>IF(Normy!$G$7="","",ROUND(Normy!$G$7*5*Parametry!$B$6/(Parametry!$B$4*(1-Parametry!$B$5)),1))</f>
        <v/>
      </c>
      <c r="AZ18" s="20">
        <f>IF(Normy!$G$7="","",ROUND(Normy!$G$7*5*Parametry!$B$6/(Parametry!$B$4*(1-Parametry!$B$5)),1))</f>
        <v/>
      </c>
      <c r="BA18" s="20">
        <f>IF(Normy!$G$7="","",ROUND(Normy!$G$7*5*Parametry!$B$6/(Parametry!$B$4*(1-Parametry!$B$5)),1))</f>
        <v/>
      </c>
      <c r="BB18" s="20">
        <f>IF(Normy!$G$7="","",ROUND(Normy!$G$7*5*Parametry!$B$6/(Parametry!$B$4*(1-Parametry!$B$5)),1))</f>
        <v/>
      </c>
      <c r="BC18" s="20">
        <f>IF(Normy!$G$7="","",ROUND(Normy!$G$7*5*Parametry!$B$6/(Parametry!$B$4*(1-Parametry!$B$5)),1))</f>
        <v/>
      </c>
      <c r="BD18" s="20">
        <f>IF(Normy!$G$7="","",ROUND(Normy!$G$7*5*Parametry!$B$6/(Parametry!$B$4*(1-Parametry!$B$5)),1))</f>
        <v/>
      </c>
      <c r="BE18" s="20">
        <f>IF(Normy!$G$7="","",ROUND(Normy!$G$7*5*Parametry!$B$6/(Parametry!$B$4*(1-Parametry!$B$5)),1))</f>
        <v/>
      </c>
      <c r="BF18" s="20">
        <f>IF(Normy!$G$7="","",ROUND(Normy!$G$7*5*Parametry!$B$6/(Parametry!$B$4*(1-Parametry!$B$5)),1))</f>
        <v/>
      </c>
      <c r="BG18" s="20">
        <f>IF(Normy!$G$7="","",ROUND(Normy!$G$7*5*Parametry!$B$6/(Parametry!$B$4*(1-Parametry!$B$5)),1))</f>
        <v/>
      </c>
      <c r="BH18" s="20">
        <f>IF(Normy!$G$7="","",ROUND(Normy!$G$7*5*Parametry!$B$6/(Parametry!$B$4*(1-Parametry!$B$5)),1))</f>
        <v/>
      </c>
      <c r="BI18" s="20">
        <f>IF(Normy!$G$7="","",ROUND(Normy!$G$7*5*Parametry!$B$6/(Parametry!$B$4*(1-Parametry!$B$5)),1))</f>
        <v/>
      </c>
      <c r="BJ18" s="20">
        <f>IF(Normy!$G$7="","",ROUND(Normy!$G$7*5*Parametry!$B$6/(Parametry!$B$4*(1-Parametry!$B$5)),1))</f>
        <v/>
      </c>
      <c r="BK18" s="20">
        <f>IF(Normy!$G$7="","",ROUND(Normy!$G$7*5*Parametry!$B$6/(Parametry!$B$4*(1-Parametry!$B$5)),1))</f>
        <v/>
      </c>
      <c r="BL18" s="20">
        <f>IF(Normy!$G$7="","",ROUND(Normy!$G$7*5*Parametry!$B$6/(Parametry!$B$4*(1-Parametry!$B$5)),1))</f>
        <v/>
      </c>
      <c r="BM18" s="20">
        <f>IF(Normy!$G$7="","",ROUND(Normy!$G$7*5*Parametry!$B$6/(Parametry!$B$4*(1-Parametry!$B$5)),1))</f>
        <v/>
      </c>
    </row>
    <row r="19">
      <c r="A19" s="19" t="n"/>
      <c r="B19" s="4" t="inlineStr">
        <is>
          <t>Gap FTE (skut. − potřeba)</t>
        </is>
      </c>
      <c r="C19" s="20">
        <f>IF(OR(C18="",C17=""),"",C18-C17)</f>
        <v/>
      </c>
      <c r="D19" s="20">
        <f>IF(OR(D18="",D17=""),"",D18-D17)</f>
        <v/>
      </c>
      <c r="E19" s="20">
        <f>IF(OR(E18="",E17=""),"",E18-E17)</f>
        <v/>
      </c>
      <c r="F19" s="20">
        <f>IF(OR(F18="",F17=""),"",F18-F17)</f>
        <v/>
      </c>
      <c r="G19" s="20">
        <f>IF(OR(G18="",G17=""),"",G18-G17)</f>
        <v/>
      </c>
      <c r="H19" s="20">
        <f>IF(OR(H18="",H17=""),"",H18-H17)</f>
        <v/>
      </c>
      <c r="I19" s="20">
        <f>IF(OR(I18="",I17=""),"",I18-I17)</f>
        <v/>
      </c>
      <c r="J19" s="20">
        <f>IF(OR(J18="",J17=""),"",J18-J17)</f>
        <v/>
      </c>
      <c r="K19" s="20">
        <f>IF(OR(K18="",K17=""),"",K18-K17)</f>
        <v/>
      </c>
      <c r="L19" s="20">
        <f>IF(OR(L18="",L17=""),"",L18-L17)</f>
        <v/>
      </c>
      <c r="M19" s="20">
        <f>IF(OR(M18="",M17=""),"",M18-M17)</f>
        <v/>
      </c>
      <c r="N19" s="20">
        <f>IF(OR(N18="",N17=""),"",N18-N17)</f>
        <v/>
      </c>
      <c r="O19" s="20">
        <f>IF(OR(O18="",O17=""),"",O18-O17)</f>
        <v/>
      </c>
      <c r="P19" s="20">
        <f>IF(OR(P18="",P17=""),"",P18-P17)</f>
        <v/>
      </c>
      <c r="Q19" s="20">
        <f>IF(OR(Q18="",Q17=""),"",Q18-Q17)</f>
        <v/>
      </c>
      <c r="R19" s="20">
        <f>IF(OR(R18="",R17=""),"",R18-R17)</f>
        <v/>
      </c>
      <c r="S19" s="20">
        <f>IF(OR(S18="",S17=""),"",S18-S17)</f>
        <v/>
      </c>
      <c r="T19" s="20">
        <f>IF(OR(T18="",T17=""),"",T18-T17)</f>
        <v/>
      </c>
      <c r="U19" s="20">
        <f>IF(OR(U18="",U17=""),"",U18-U17)</f>
        <v/>
      </c>
      <c r="V19" s="20">
        <f>IF(OR(V18="",V17=""),"",V18-V17)</f>
        <v/>
      </c>
      <c r="W19" s="20">
        <f>IF(OR(W18="",W17=""),"",W18-W17)</f>
        <v/>
      </c>
      <c r="X19" s="20">
        <f>IF(OR(X18="",X17=""),"",X18-X17)</f>
        <v/>
      </c>
      <c r="Y19" s="20">
        <f>IF(OR(Y18="",Y17=""),"",Y18-Y17)</f>
        <v/>
      </c>
      <c r="Z19" s="20">
        <f>IF(OR(Z18="",Z17=""),"",Z18-Z17)</f>
        <v/>
      </c>
      <c r="AA19" s="20">
        <f>IF(OR(AA18="",AA17=""),"",AA18-AA17)</f>
        <v/>
      </c>
      <c r="AB19" s="20">
        <f>IF(OR(AB18="",AB17=""),"",AB18-AB17)</f>
        <v/>
      </c>
      <c r="AC19" s="20">
        <f>IF(OR(AC18="",AC17=""),"",AC18-AC17)</f>
        <v/>
      </c>
      <c r="AD19" s="20">
        <f>IF(OR(AD18="",AD17=""),"",AD18-AD17)</f>
        <v/>
      </c>
      <c r="AE19" s="20">
        <f>IF(OR(AE18="",AE17=""),"",AE18-AE17)</f>
        <v/>
      </c>
      <c r="AF19" s="20">
        <f>IF(OR(AF18="",AF17=""),"",AF18-AF17)</f>
        <v/>
      </c>
      <c r="AG19" s="20">
        <f>IF(OR(AG18="",AG17=""),"",AG18-AG17)</f>
        <v/>
      </c>
      <c r="AH19" s="20">
        <f>IF(OR(AH18="",AH17=""),"",AH18-AH17)</f>
        <v/>
      </c>
      <c r="AI19" s="20">
        <f>IF(OR(AI18="",AI17=""),"",AI18-AI17)</f>
        <v/>
      </c>
      <c r="AJ19" s="20">
        <f>IF(OR(AJ18="",AJ17=""),"",AJ18-AJ17)</f>
        <v/>
      </c>
      <c r="AK19" s="20">
        <f>IF(OR(AK18="",AK17=""),"",AK18-AK17)</f>
        <v/>
      </c>
      <c r="AL19" s="20">
        <f>IF(OR(AL18="",AL17=""),"",AL18-AL17)</f>
        <v/>
      </c>
      <c r="AM19" s="20">
        <f>IF(OR(AM18="",AM17=""),"",AM18-AM17)</f>
        <v/>
      </c>
      <c r="AN19" s="20">
        <f>IF(OR(AN18="",AN17=""),"",AN18-AN17)</f>
        <v/>
      </c>
      <c r="AO19" s="20">
        <f>IF(OR(AO18="",AO17=""),"",AO18-AO17)</f>
        <v/>
      </c>
      <c r="AP19" s="20">
        <f>IF(OR(AP18="",AP17=""),"",AP18-AP17)</f>
        <v/>
      </c>
      <c r="AQ19" s="20">
        <f>IF(OR(AQ18="",AQ17=""),"",AQ18-AQ17)</f>
        <v/>
      </c>
      <c r="AR19" s="20">
        <f>IF(OR(AR18="",AR17=""),"",AR18-AR17)</f>
        <v/>
      </c>
      <c r="AS19" s="20">
        <f>IF(OR(AS18="",AS17=""),"",AS18-AS17)</f>
        <v/>
      </c>
      <c r="AT19" s="20">
        <f>IF(OR(AT18="",AT17=""),"",AT18-AT17)</f>
        <v/>
      </c>
      <c r="AU19" s="20">
        <f>IF(OR(AU18="",AU17=""),"",AU18-AU17)</f>
        <v/>
      </c>
      <c r="AV19" s="20">
        <f>IF(OR(AV18="",AV17=""),"",AV18-AV17)</f>
        <v/>
      </c>
      <c r="AW19" s="20">
        <f>IF(OR(AW18="",AW17=""),"",AW18-AW17)</f>
        <v/>
      </c>
      <c r="AX19" s="20">
        <f>IF(OR(AX18="",AX17=""),"",AX18-AX17)</f>
        <v/>
      </c>
      <c r="AY19" s="20">
        <f>IF(OR(AY18="",AY17=""),"",AY18-AY17)</f>
        <v/>
      </c>
      <c r="AZ19" s="20">
        <f>IF(OR(AZ18="",AZ17=""),"",AZ18-AZ17)</f>
        <v/>
      </c>
      <c r="BA19" s="20">
        <f>IF(OR(BA18="",BA17=""),"",BA18-BA17)</f>
        <v/>
      </c>
      <c r="BB19" s="20">
        <f>IF(OR(BB18="",BB17=""),"",BB18-BB17)</f>
        <v/>
      </c>
      <c r="BC19" s="20">
        <f>IF(OR(BC18="",BC17=""),"",BC18-BC17)</f>
        <v/>
      </c>
      <c r="BD19" s="20">
        <f>IF(OR(BD18="",BD17=""),"",BD18-BD17)</f>
        <v/>
      </c>
      <c r="BE19" s="20">
        <f>IF(OR(BE18="",BE17=""),"",BE18-BE17)</f>
        <v/>
      </c>
      <c r="BF19" s="20">
        <f>IF(OR(BF18="",BF17=""),"",BF18-BF17)</f>
        <v/>
      </c>
      <c r="BG19" s="20">
        <f>IF(OR(BG18="",BG17=""),"",BG18-BG17)</f>
        <v/>
      </c>
      <c r="BH19" s="20">
        <f>IF(OR(BH18="",BH17=""),"",BH18-BH17)</f>
        <v/>
      </c>
      <c r="BI19" s="20">
        <f>IF(OR(BI18="",BI17=""),"",BI18-BI17)</f>
        <v/>
      </c>
      <c r="BJ19" s="20">
        <f>IF(OR(BJ18="",BJ17=""),"",BJ18-BJ17)</f>
        <v/>
      </c>
      <c r="BK19" s="20">
        <f>IF(OR(BK18="",BK17=""),"",BK18-BK17)</f>
        <v/>
      </c>
      <c r="BL19" s="20">
        <f>IF(OR(BL18="",BL17=""),"",BL18-BL17)</f>
        <v/>
      </c>
      <c r="BM19" s="20">
        <f>IF(OR(BM18="",BM17=""),"",BM18-BM17)</f>
        <v/>
      </c>
    </row>
    <row r="20">
      <c r="A20" s="18" t="inlineStr">
        <is>
          <t>OV51/64</t>
        </is>
      </c>
      <c r="B20" s="4" t="inlineStr">
        <is>
          <t>Potřebné směny (8h)</t>
        </is>
      </c>
      <c r="C20" s="4">
        <f>IF(OR(Normy!$C$8="",'Volume po lince'!B7=0),"",ROUNDUP('Volume po lince'!B7/(Normy!$C$8*IF(Normy!$D$8="",Parametry!$B$7,Normy!$D$8)),0))</f>
        <v/>
      </c>
      <c r="D20" s="4">
        <f>IF(OR(Normy!$C$8="",'Volume po lince'!C7=0),"",ROUNDUP('Volume po lince'!C7/(Normy!$C$8*IF(Normy!$D$8="",Parametry!$B$7,Normy!$D$8)),0))</f>
        <v/>
      </c>
      <c r="E20" s="4">
        <f>IF(OR(Normy!$C$8="",'Volume po lince'!D7=0),"",ROUNDUP('Volume po lince'!D7/(Normy!$C$8*IF(Normy!$D$8="",Parametry!$B$7,Normy!$D$8)),0))</f>
        <v/>
      </c>
      <c r="F20" s="4">
        <f>IF(OR(Normy!$C$8="",'Volume po lince'!E7=0),"",ROUNDUP('Volume po lince'!E7/(Normy!$C$8*IF(Normy!$D$8="",Parametry!$B$7,Normy!$D$8)),0))</f>
        <v/>
      </c>
      <c r="G20" s="4">
        <f>IF(OR(Normy!$C$8="",'Volume po lince'!F7=0),"",ROUNDUP('Volume po lince'!F7/(Normy!$C$8*IF(Normy!$D$8="",Parametry!$B$7,Normy!$D$8)),0))</f>
        <v/>
      </c>
      <c r="H20" s="4">
        <f>IF(OR(Normy!$C$8="",'Volume po lince'!G7=0),"",ROUNDUP('Volume po lince'!G7/(Normy!$C$8*IF(Normy!$D$8="",Parametry!$B$7,Normy!$D$8)),0))</f>
        <v/>
      </c>
      <c r="I20" s="4">
        <f>IF(OR(Normy!$C$8="",'Volume po lince'!H7=0),"",ROUNDUP('Volume po lince'!H7/(Normy!$C$8*IF(Normy!$D$8="",Parametry!$B$7,Normy!$D$8)),0))</f>
        <v/>
      </c>
      <c r="J20" s="4">
        <f>IF(OR(Normy!$C$8="",'Volume po lince'!I7=0),"",ROUNDUP('Volume po lince'!I7/(Normy!$C$8*IF(Normy!$D$8="",Parametry!$B$7,Normy!$D$8)),0))</f>
        <v/>
      </c>
      <c r="K20" s="4">
        <f>IF(OR(Normy!$C$8="",'Volume po lince'!J7=0),"",ROUNDUP('Volume po lince'!J7/(Normy!$C$8*IF(Normy!$D$8="",Parametry!$B$7,Normy!$D$8)),0))</f>
        <v/>
      </c>
      <c r="L20" s="4">
        <f>IF(OR(Normy!$C$8="",'Volume po lince'!K7=0),"",ROUNDUP('Volume po lince'!K7/(Normy!$C$8*IF(Normy!$D$8="",Parametry!$B$7,Normy!$D$8)),0))</f>
        <v/>
      </c>
      <c r="M20" s="4">
        <f>IF(OR(Normy!$C$8="",'Volume po lince'!L7=0),"",ROUNDUP('Volume po lince'!L7/(Normy!$C$8*IF(Normy!$D$8="",Parametry!$B$7,Normy!$D$8)),0))</f>
        <v/>
      </c>
      <c r="N20" s="4">
        <f>IF(OR(Normy!$C$8="",'Volume po lince'!M7=0),"",ROUNDUP('Volume po lince'!M7/(Normy!$C$8*IF(Normy!$D$8="",Parametry!$B$7,Normy!$D$8)),0))</f>
        <v/>
      </c>
      <c r="O20" s="4">
        <f>IF(OR(Normy!$C$8="",'Volume po lince'!N7=0),"",ROUNDUP('Volume po lince'!N7/(Normy!$C$8*IF(Normy!$D$8="",Parametry!$B$7,Normy!$D$8)),0))</f>
        <v/>
      </c>
      <c r="P20" s="4">
        <f>IF(OR(Normy!$C$8="",'Volume po lince'!O7=0),"",ROUNDUP('Volume po lince'!O7/(Normy!$C$8*IF(Normy!$D$8="",Parametry!$B$7,Normy!$D$8)),0))</f>
        <v/>
      </c>
      <c r="Q20" s="4">
        <f>IF(OR(Normy!$C$8="",'Volume po lince'!P7=0),"",ROUNDUP('Volume po lince'!P7/(Normy!$C$8*IF(Normy!$D$8="",Parametry!$B$7,Normy!$D$8)),0))</f>
        <v/>
      </c>
      <c r="R20" s="4">
        <f>IF(OR(Normy!$C$8="",'Volume po lince'!Q7=0),"",ROUNDUP('Volume po lince'!Q7/(Normy!$C$8*IF(Normy!$D$8="",Parametry!$B$7,Normy!$D$8)),0))</f>
        <v/>
      </c>
      <c r="S20" s="4">
        <f>IF(OR(Normy!$C$8="",'Volume po lince'!R7=0),"",ROUNDUP('Volume po lince'!R7/(Normy!$C$8*IF(Normy!$D$8="",Parametry!$B$7,Normy!$D$8)),0))</f>
        <v/>
      </c>
      <c r="T20" s="4">
        <f>IF(OR(Normy!$C$8="",'Volume po lince'!S7=0),"",ROUNDUP('Volume po lince'!S7/(Normy!$C$8*IF(Normy!$D$8="",Parametry!$B$7,Normy!$D$8)),0))</f>
        <v/>
      </c>
      <c r="U20" s="4">
        <f>IF(OR(Normy!$C$8="",'Volume po lince'!T7=0),"",ROUNDUP('Volume po lince'!T7/(Normy!$C$8*IF(Normy!$D$8="",Parametry!$B$7,Normy!$D$8)),0))</f>
        <v/>
      </c>
      <c r="V20" s="4">
        <f>IF(OR(Normy!$C$8="",'Volume po lince'!U7=0),"",ROUNDUP('Volume po lince'!U7/(Normy!$C$8*IF(Normy!$D$8="",Parametry!$B$7,Normy!$D$8)),0))</f>
        <v/>
      </c>
      <c r="W20" s="4">
        <f>IF(OR(Normy!$C$8="",'Volume po lince'!V7=0),"",ROUNDUP('Volume po lince'!V7/(Normy!$C$8*IF(Normy!$D$8="",Parametry!$B$7,Normy!$D$8)),0))</f>
        <v/>
      </c>
      <c r="X20" s="4">
        <f>IF(OR(Normy!$C$8="",'Volume po lince'!W7=0),"",ROUNDUP('Volume po lince'!W7/(Normy!$C$8*IF(Normy!$D$8="",Parametry!$B$7,Normy!$D$8)),0))</f>
        <v/>
      </c>
      <c r="Y20" s="4">
        <f>IF(OR(Normy!$C$8="",'Volume po lince'!X7=0),"",ROUNDUP('Volume po lince'!X7/(Normy!$C$8*IF(Normy!$D$8="",Parametry!$B$7,Normy!$D$8)),0))</f>
        <v/>
      </c>
      <c r="Z20" s="4">
        <f>IF(OR(Normy!$C$8="",'Volume po lince'!Y7=0),"",ROUNDUP('Volume po lince'!Y7/(Normy!$C$8*IF(Normy!$D$8="",Parametry!$B$7,Normy!$D$8)),0))</f>
        <v/>
      </c>
      <c r="AA20" s="4">
        <f>IF(OR(Normy!$C$8="",'Volume po lince'!Z7=0),"",ROUNDUP('Volume po lince'!Z7/(Normy!$C$8*IF(Normy!$D$8="",Parametry!$B$7,Normy!$D$8)),0))</f>
        <v/>
      </c>
      <c r="AB20" s="4">
        <f>IF(OR(Normy!$C$8="",'Volume po lince'!AA7=0),"",ROUNDUP('Volume po lince'!AA7/(Normy!$C$8*IF(Normy!$D$8="",Parametry!$B$7,Normy!$D$8)),0))</f>
        <v/>
      </c>
      <c r="AC20" s="4">
        <f>IF(OR(Normy!$C$8="",'Volume po lince'!AB7=0),"",ROUNDUP('Volume po lince'!AB7/(Normy!$C$8*IF(Normy!$D$8="",Parametry!$B$7,Normy!$D$8)),0))</f>
        <v/>
      </c>
      <c r="AD20" s="4">
        <f>IF(OR(Normy!$C$8="",'Volume po lince'!AC7=0),"",ROUNDUP('Volume po lince'!AC7/(Normy!$C$8*IF(Normy!$D$8="",Parametry!$B$7,Normy!$D$8)),0))</f>
        <v/>
      </c>
      <c r="AE20" s="4">
        <f>IF(OR(Normy!$C$8="",'Volume po lince'!AD7=0),"",ROUNDUP('Volume po lince'!AD7/(Normy!$C$8*IF(Normy!$D$8="",Parametry!$B$7,Normy!$D$8)),0))</f>
        <v/>
      </c>
      <c r="AF20" s="4">
        <f>IF(OR(Normy!$C$8="",'Volume po lince'!AE7=0),"",ROUNDUP('Volume po lince'!AE7/(Normy!$C$8*IF(Normy!$D$8="",Parametry!$B$7,Normy!$D$8)),0))</f>
        <v/>
      </c>
      <c r="AG20" s="4">
        <f>IF(OR(Normy!$C$8="",'Volume po lince'!AF7=0),"",ROUNDUP('Volume po lince'!AF7/(Normy!$C$8*IF(Normy!$D$8="",Parametry!$B$7,Normy!$D$8)),0))</f>
        <v/>
      </c>
      <c r="AH20" s="4">
        <f>IF(OR(Normy!$C$8="",'Volume po lince'!AG7=0),"",ROUNDUP('Volume po lince'!AG7/(Normy!$C$8*IF(Normy!$D$8="",Parametry!$B$7,Normy!$D$8)),0))</f>
        <v/>
      </c>
      <c r="AI20" s="4">
        <f>IF(OR(Normy!$C$8="",'Volume po lince'!AH7=0),"",ROUNDUP('Volume po lince'!AH7/(Normy!$C$8*IF(Normy!$D$8="",Parametry!$B$7,Normy!$D$8)),0))</f>
        <v/>
      </c>
      <c r="AJ20" s="4">
        <f>IF(OR(Normy!$C$8="",'Volume po lince'!AI7=0),"",ROUNDUP('Volume po lince'!AI7/(Normy!$C$8*IF(Normy!$D$8="",Parametry!$B$7,Normy!$D$8)),0))</f>
        <v/>
      </c>
      <c r="AK20" s="4">
        <f>IF(OR(Normy!$C$8="",'Volume po lince'!AJ7=0),"",ROUNDUP('Volume po lince'!AJ7/(Normy!$C$8*IF(Normy!$D$8="",Parametry!$B$7,Normy!$D$8)),0))</f>
        <v/>
      </c>
      <c r="AL20" s="4">
        <f>IF(OR(Normy!$C$8="",'Volume po lince'!AK7=0),"",ROUNDUP('Volume po lince'!AK7/(Normy!$C$8*IF(Normy!$D$8="",Parametry!$B$7,Normy!$D$8)),0))</f>
        <v/>
      </c>
      <c r="AM20" s="4">
        <f>IF(OR(Normy!$C$8="",'Volume po lince'!AL7=0),"",ROUNDUP('Volume po lince'!AL7/(Normy!$C$8*IF(Normy!$D$8="",Parametry!$B$7,Normy!$D$8)),0))</f>
        <v/>
      </c>
      <c r="AN20" s="4">
        <f>IF(OR(Normy!$C$8="",'Volume po lince'!AM7=0),"",ROUNDUP('Volume po lince'!AM7/(Normy!$C$8*IF(Normy!$D$8="",Parametry!$B$7,Normy!$D$8)),0))</f>
        <v/>
      </c>
      <c r="AO20" s="4">
        <f>IF(OR(Normy!$C$8="",'Volume po lince'!AN7=0),"",ROUNDUP('Volume po lince'!AN7/(Normy!$C$8*IF(Normy!$D$8="",Parametry!$B$7,Normy!$D$8)),0))</f>
        <v/>
      </c>
      <c r="AP20" s="4">
        <f>IF(OR(Normy!$C$8="",'Volume po lince'!AO7=0),"",ROUNDUP('Volume po lince'!AO7/(Normy!$C$8*IF(Normy!$D$8="",Parametry!$B$7,Normy!$D$8)),0))</f>
        <v/>
      </c>
      <c r="AQ20" s="4">
        <f>IF(OR(Normy!$C$8="",'Volume po lince'!AP7=0),"",ROUNDUP('Volume po lince'!AP7/(Normy!$C$8*IF(Normy!$D$8="",Parametry!$B$7,Normy!$D$8)),0))</f>
        <v/>
      </c>
      <c r="AR20" s="4">
        <f>IF(OR(Normy!$C$8="",'Volume po lince'!AQ7=0),"",ROUNDUP('Volume po lince'!AQ7/(Normy!$C$8*IF(Normy!$D$8="",Parametry!$B$7,Normy!$D$8)),0))</f>
        <v/>
      </c>
      <c r="AS20" s="4">
        <f>IF(OR(Normy!$C$8="",'Volume po lince'!AR7=0),"",ROUNDUP('Volume po lince'!AR7/(Normy!$C$8*IF(Normy!$D$8="",Parametry!$B$7,Normy!$D$8)),0))</f>
        <v/>
      </c>
      <c r="AT20" s="4">
        <f>IF(OR(Normy!$C$8="",'Volume po lince'!AS7=0),"",ROUNDUP('Volume po lince'!AS7/(Normy!$C$8*IF(Normy!$D$8="",Parametry!$B$7,Normy!$D$8)),0))</f>
        <v/>
      </c>
      <c r="AU20" s="4">
        <f>IF(OR(Normy!$C$8="",'Volume po lince'!AT7=0),"",ROUNDUP('Volume po lince'!AT7/(Normy!$C$8*IF(Normy!$D$8="",Parametry!$B$7,Normy!$D$8)),0))</f>
        <v/>
      </c>
      <c r="AV20" s="4">
        <f>IF(OR(Normy!$C$8="",'Volume po lince'!AU7=0),"",ROUNDUP('Volume po lince'!AU7/(Normy!$C$8*IF(Normy!$D$8="",Parametry!$B$7,Normy!$D$8)),0))</f>
        <v/>
      </c>
      <c r="AW20" s="4">
        <f>IF(OR(Normy!$C$8="",'Volume po lince'!AV7=0),"",ROUNDUP('Volume po lince'!AV7/(Normy!$C$8*IF(Normy!$D$8="",Parametry!$B$7,Normy!$D$8)),0))</f>
        <v/>
      </c>
      <c r="AX20" s="4">
        <f>IF(OR(Normy!$C$8="",'Volume po lince'!AW7=0),"",ROUNDUP('Volume po lince'!AW7/(Normy!$C$8*IF(Normy!$D$8="",Parametry!$B$7,Normy!$D$8)),0))</f>
        <v/>
      </c>
      <c r="AY20" s="4">
        <f>IF(OR(Normy!$C$8="",'Volume po lince'!AX7=0),"",ROUNDUP('Volume po lince'!AX7/(Normy!$C$8*IF(Normy!$D$8="",Parametry!$B$7,Normy!$D$8)),0))</f>
        <v/>
      </c>
      <c r="AZ20" s="4">
        <f>IF(OR(Normy!$C$8="",'Volume po lince'!AY7=0),"",ROUNDUP('Volume po lince'!AY7/(Normy!$C$8*IF(Normy!$D$8="",Parametry!$B$7,Normy!$D$8)),0))</f>
        <v/>
      </c>
      <c r="BA20" s="4">
        <f>IF(OR(Normy!$C$8="",'Volume po lince'!AZ7=0),"",ROUNDUP('Volume po lince'!AZ7/(Normy!$C$8*IF(Normy!$D$8="",Parametry!$B$7,Normy!$D$8)),0))</f>
        <v/>
      </c>
      <c r="BB20" s="4">
        <f>IF(OR(Normy!$C$8="",'Volume po lince'!BA7=0),"",ROUNDUP('Volume po lince'!BA7/(Normy!$C$8*IF(Normy!$D$8="",Parametry!$B$7,Normy!$D$8)),0))</f>
        <v/>
      </c>
      <c r="BC20" s="4">
        <f>IF(OR(Normy!$C$8="",'Volume po lince'!BB7=0),"",ROUNDUP('Volume po lince'!BB7/(Normy!$C$8*IF(Normy!$D$8="",Parametry!$B$7,Normy!$D$8)),0))</f>
        <v/>
      </c>
      <c r="BD20" s="4">
        <f>IF(OR(Normy!$C$8="",'Volume po lince'!BC7=0),"",ROUNDUP('Volume po lince'!BC7/(Normy!$C$8*IF(Normy!$D$8="",Parametry!$B$7,Normy!$D$8)),0))</f>
        <v/>
      </c>
      <c r="BE20" s="4">
        <f>IF(OR(Normy!$C$8="",'Volume po lince'!BD7=0),"",ROUNDUP('Volume po lince'!BD7/(Normy!$C$8*IF(Normy!$D$8="",Parametry!$B$7,Normy!$D$8)),0))</f>
        <v/>
      </c>
      <c r="BF20" s="4">
        <f>IF(OR(Normy!$C$8="",'Volume po lince'!BE7=0),"",ROUNDUP('Volume po lince'!BE7/(Normy!$C$8*IF(Normy!$D$8="",Parametry!$B$7,Normy!$D$8)),0))</f>
        <v/>
      </c>
      <c r="BG20" s="4">
        <f>IF(OR(Normy!$C$8="",'Volume po lince'!BF7=0),"",ROUNDUP('Volume po lince'!BF7/(Normy!$C$8*IF(Normy!$D$8="",Parametry!$B$7,Normy!$D$8)),0))</f>
        <v/>
      </c>
      <c r="BH20" s="4">
        <f>IF(OR(Normy!$C$8="",'Volume po lince'!BG7=0),"",ROUNDUP('Volume po lince'!BG7/(Normy!$C$8*IF(Normy!$D$8="",Parametry!$B$7,Normy!$D$8)),0))</f>
        <v/>
      </c>
      <c r="BI20" s="4">
        <f>IF(OR(Normy!$C$8="",'Volume po lince'!BH7=0),"",ROUNDUP('Volume po lince'!BH7/(Normy!$C$8*IF(Normy!$D$8="",Parametry!$B$7,Normy!$D$8)),0))</f>
        <v/>
      </c>
      <c r="BJ20" s="4">
        <f>IF(OR(Normy!$C$8="",'Volume po lince'!BI7=0),"",ROUNDUP('Volume po lince'!BI7/(Normy!$C$8*IF(Normy!$D$8="",Parametry!$B$7,Normy!$D$8)),0))</f>
        <v/>
      </c>
      <c r="BK20" s="4">
        <f>IF(OR(Normy!$C$8="",'Volume po lince'!BJ7=0),"",ROUNDUP('Volume po lince'!BJ7/(Normy!$C$8*IF(Normy!$D$8="",Parametry!$B$7,Normy!$D$8)),0))</f>
        <v/>
      </c>
      <c r="BL20" s="4">
        <f>IF(OR(Normy!$C$8="",'Volume po lince'!BK7=0),"",ROUNDUP('Volume po lince'!BK7/(Normy!$C$8*IF(Normy!$D$8="",Parametry!$B$7,Normy!$D$8)),0))</f>
        <v/>
      </c>
      <c r="BM20" s="4">
        <f>IF(OR(Normy!$C$8="",'Volume po lince'!BL7=0),"",ROUNDUP('Volume po lince'!BL7/(Normy!$C$8*IF(Normy!$D$8="",Parametry!$B$7,Normy!$D$8)),0))</f>
        <v/>
      </c>
    </row>
    <row r="21">
      <c r="A21" s="19" t="n"/>
      <c r="B21" s="4" t="inlineStr">
        <is>
          <t>OP-směn</t>
        </is>
      </c>
      <c r="C21" s="4">
        <f>IF(OR(C20="",Normy!$E$8=""),"",C20*Normy!$E$8)</f>
        <v/>
      </c>
      <c r="D21" s="4">
        <f>IF(OR(D20="",Normy!$E$8=""),"",D20*Normy!$E$8)</f>
        <v/>
      </c>
      <c r="E21" s="4">
        <f>IF(OR(E20="",Normy!$E$8=""),"",E20*Normy!$E$8)</f>
        <v/>
      </c>
      <c r="F21" s="4">
        <f>IF(OR(F20="",Normy!$E$8=""),"",F20*Normy!$E$8)</f>
        <v/>
      </c>
      <c r="G21" s="4">
        <f>IF(OR(G20="",Normy!$E$8=""),"",G20*Normy!$E$8)</f>
        <v/>
      </c>
      <c r="H21" s="4">
        <f>IF(OR(H20="",Normy!$E$8=""),"",H20*Normy!$E$8)</f>
        <v/>
      </c>
      <c r="I21" s="4">
        <f>IF(OR(I20="",Normy!$E$8=""),"",I20*Normy!$E$8)</f>
        <v/>
      </c>
      <c r="J21" s="4">
        <f>IF(OR(J20="",Normy!$E$8=""),"",J20*Normy!$E$8)</f>
        <v/>
      </c>
      <c r="K21" s="4">
        <f>IF(OR(K20="",Normy!$E$8=""),"",K20*Normy!$E$8)</f>
        <v/>
      </c>
      <c r="L21" s="4">
        <f>IF(OR(L20="",Normy!$E$8=""),"",L20*Normy!$E$8)</f>
        <v/>
      </c>
      <c r="M21" s="4">
        <f>IF(OR(M20="",Normy!$E$8=""),"",M20*Normy!$E$8)</f>
        <v/>
      </c>
      <c r="N21" s="4">
        <f>IF(OR(N20="",Normy!$E$8=""),"",N20*Normy!$E$8)</f>
        <v/>
      </c>
      <c r="O21" s="4">
        <f>IF(OR(O20="",Normy!$E$8=""),"",O20*Normy!$E$8)</f>
        <v/>
      </c>
      <c r="P21" s="4">
        <f>IF(OR(P20="",Normy!$E$8=""),"",P20*Normy!$E$8)</f>
        <v/>
      </c>
      <c r="Q21" s="4">
        <f>IF(OR(Q20="",Normy!$E$8=""),"",Q20*Normy!$E$8)</f>
        <v/>
      </c>
      <c r="R21" s="4">
        <f>IF(OR(R20="",Normy!$E$8=""),"",R20*Normy!$E$8)</f>
        <v/>
      </c>
      <c r="S21" s="4">
        <f>IF(OR(S20="",Normy!$E$8=""),"",S20*Normy!$E$8)</f>
        <v/>
      </c>
      <c r="T21" s="4">
        <f>IF(OR(T20="",Normy!$E$8=""),"",T20*Normy!$E$8)</f>
        <v/>
      </c>
      <c r="U21" s="4">
        <f>IF(OR(U20="",Normy!$E$8=""),"",U20*Normy!$E$8)</f>
        <v/>
      </c>
      <c r="V21" s="4">
        <f>IF(OR(V20="",Normy!$E$8=""),"",V20*Normy!$E$8)</f>
        <v/>
      </c>
      <c r="W21" s="4">
        <f>IF(OR(W20="",Normy!$E$8=""),"",W20*Normy!$E$8)</f>
        <v/>
      </c>
      <c r="X21" s="4">
        <f>IF(OR(X20="",Normy!$E$8=""),"",X20*Normy!$E$8)</f>
        <v/>
      </c>
      <c r="Y21" s="4">
        <f>IF(OR(Y20="",Normy!$E$8=""),"",Y20*Normy!$E$8)</f>
        <v/>
      </c>
      <c r="Z21" s="4">
        <f>IF(OR(Z20="",Normy!$E$8=""),"",Z20*Normy!$E$8)</f>
        <v/>
      </c>
      <c r="AA21" s="4">
        <f>IF(OR(AA20="",Normy!$E$8=""),"",AA20*Normy!$E$8)</f>
        <v/>
      </c>
      <c r="AB21" s="4">
        <f>IF(OR(AB20="",Normy!$E$8=""),"",AB20*Normy!$E$8)</f>
        <v/>
      </c>
      <c r="AC21" s="4">
        <f>IF(OR(AC20="",Normy!$E$8=""),"",AC20*Normy!$E$8)</f>
        <v/>
      </c>
      <c r="AD21" s="4">
        <f>IF(OR(AD20="",Normy!$E$8=""),"",AD20*Normy!$E$8)</f>
        <v/>
      </c>
      <c r="AE21" s="4">
        <f>IF(OR(AE20="",Normy!$E$8=""),"",AE20*Normy!$E$8)</f>
        <v/>
      </c>
      <c r="AF21" s="4">
        <f>IF(OR(AF20="",Normy!$E$8=""),"",AF20*Normy!$E$8)</f>
        <v/>
      </c>
      <c r="AG21" s="4">
        <f>IF(OR(AG20="",Normy!$E$8=""),"",AG20*Normy!$E$8)</f>
        <v/>
      </c>
      <c r="AH21" s="4">
        <f>IF(OR(AH20="",Normy!$E$8=""),"",AH20*Normy!$E$8)</f>
        <v/>
      </c>
      <c r="AI21" s="4">
        <f>IF(OR(AI20="",Normy!$E$8=""),"",AI20*Normy!$E$8)</f>
        <v/>
      </c>
      <c r="AJ21" s="4">
        <f>IF(OR(AJ20="",Normy!$E$8=""),"",AJ20*Normy!$E$8)</f>
        <v/>
      </c>
      <c r="AK21" s="4">
        <f>IF(OR(AK20="",Normy!$E$8=""),"",AK20*Normy!$E$8)</f>
        <v/>
      </c>
      <c r="AL21" s="4">
        <f>IF(OR(AL20="",Normy!$E$8=""),"",AL20*Normy!$E$8)</f>
        <v/>
      </c>
      <c r="AM21" s="4">
        <f>IF(OR(AM20="",Normy!$E$8=""),"",AM20*Normy!$E$8)</f>
        <v/>
      </c>
      <c r="AN21" s="4">
        <f>IF(OR(AN20="",Normy!$E$8=""),"",AN20*Normy!$E$8)</f>
        <v/>
      </c>
      <c r="AO21" s="4">
        <f>IF(OR(AO20="",Normy!$E$8=""),"",AO20*Normy!$E$8)</f>
        <v/>
      </c>
      <c r="AP21" s="4">
        <f>IF(OR(AP20="",Normy!$E$8=""),"",AP20*Normy!$E$8)</f>
        <v/>
      </c>
      <c r="AQ21" s="4">
        <f>IF(OR(AQ20="",Normy!$E$8=""),"",AQ20*Normy!$E$8)</f>
        <v/>
      </c>
      <c r="AR21" s="4">
        <f>IF(OR(AR20="",Normy!$E$8=""),"",AR20*Normy!$E$8)</f>
        <v/>
      </c>
      <c r="AS21" s="4">
        <f>IF(OR(AS20="",Normy!$E$8=""),"",AS20*Normy!$E$8)</f>
        <v/>
      </c>
      <c r="AT21" s="4">
        <f>IF(OR(AT20="",Normy!$E$8=""),"",AT20*Normy!$E$8)</f>
        <v/>
      </c>
      <c r="AU21" s="4">
        <f>IF(OR(AU20="",Normy!$E$8=""),"",AU20*Normy!$E$8)</f>
        <v/>
      </c>
      <c r="AV21" s="4">
        <f>IF(OR(AV20="",Normy!$E$8=""),"",AV20*Normy!$E$8)</f>
        <v/>
      </c>
      <c r="AW21" s="4">
        <f>IF(OR(AW20="",Normy!$E$8=""),"",AW20*Normy!$E$8)</f>
        <v/>
      </c>
      <c r="AX21" s="4">
        <f>IF(OR(AX20="",Normy!$E$8=""),"",AX20*Normy!$E$8)</f>
        <v/>
      </c>
      <c r="AY21" s="4">
        <f>IF(OR(AY20="",Normy!$E$8=""),"",AY20*Normy!$E$8)</f>
        <v/>
      </c>
      <c r="AZ21" s="4">
        <f>IF(OR(AZ20="",Normy!$E$8=""),"",AZ20*Normy!$E$8)</f>
        <v/>
      </c>
      <c r="BA21" s="4">
        <f>IF(OR(BA20="",Normy!$E$8=""),"",BA20*Normy!$E$8)</f>
        <v/>
      </c>
      <c r="BB21" s="4">
        <f>IF(OR(BB20="",Normy!$E$8=""),"",BB20*Normy!$E$8)</f>
        <v/>
      </c>
      <c r="BC21" s="4">
        <f>IF(OR(BC20="",Normy!$E$8=""),"",BC20*Normy!$E$8)</f>
        <v/>
      </c>
      <c r="BD21" s="4">
        <f>IF(OR(BD20="",Normy!$E$8=""),"",BD20*Normy!$E$8)</f>
        <v/>
      </c>
      <c r="BE21" s="4">
        <f>IF(OR(BE20="",Normy!$E$8=""),"",BE20*Normy!$E$8)</f>
        <v/>
      </c>
      <c r="BF21" s="4">
        <f>IF(OR(BF20="",Normy!$E$8=""),"",BF20*Normy!$E$8)</f>
        <v/>
      </c>
      <c r="BG21" s="4">
        <f>IF(OR(BG20="",Normy!$E$8=""),"",BG20*Normy!$E$8)</f>
        <v/>
      </c>
      <c r="BH21" s="4">
        <f>IF(OR(BH20="",Normy!$E$8=""),"",BH20*Normy!$E$8)</f>
        <v/>
      </c>
      <c r="BI21" s="4">
        <f>IF(OR(BI20="",Normy!$E$8=""),"",BI20*Normy!$E$8)</f>
        <v/>
      </c>
      <c r="BJ21" s="4">
        <f>IF(OR(BJ20="",Normy!$E$8=""),"",BJ20*Normy!$E$8)</f>
        <v/>
      </c>
      <c r="BK21" s="4">
        <f>IF(OR(BK20="",Normy!$E$8=""),"",BK20*Normy!$E$8)</f>
        <v/>
      </c>
      <c r="BL21" s="4">
        <f>IF(OR(BL20="",Normy!$E$8=""),"",BL20*Normy!$E$8)</f>
        <v/>
      </c>
      <c r="BM21" s="4">
        <f>IF(OR(BM20="",Normy!$E$8=""),"",BM20*Normy!$E$8)</f>
        <v/>
      </c>
    </row>
    <row r="22">
      <c r="A22" s="19" t="n"/>
      <c r="B22" s="4" t="inlineStr">
        <is>
          <t>Potřeba FTE DL</t>
        </is>
      </c>
      <c r="C22" s="4">
        <f>IF(C21="","",ROUND(C21*Parametry!$B$6/(Parametry!$B$4*(1-Parametry!$B$5)),1))</f>
        <v/>
      </c>
      <c r="D22" s="4">
        <f>IF(D21="","",ROUND(D21*Parametry!$B$6/(Parametry!$B$4*(1-Parametry!$B$5)),1))</f>
        <v/>
      </c>
      <c r="E22" s="4">
        <f>IF(E21="","",ROUND(E21*Parametry!$B$6/(Parametry!$B$4*(1-Parametry!$B$5)),1))</f>
        <v/>
      </c>
      <c r="F22" s="4">
        <f>IF(F21="","",ROUND(F21*Parametry!$B$6/(Parametry!$B$4*(1-Parametry!$B$5)),1))</f>
        <v/>
      </c>
      <c r="G22" s="4">
        <f>IF(G21="","",ROUND(G21*Parametry!$B$6/(Parametry!$B$4*(1-Parametry!$B$5)),1))</f>
        <v/>
      </c>
      <c r="H22" s="4">
        <f>IF(H21="","",ROUND(H21*Parametry!$B$6/(Parametry!$B$4*(1-Parametry!$B$5)),1))</f>
        <v/>
      </c>
      <c r="I22" s="4">
        <f>IF(I21="","",ROUND(I21*Parametry!$B$6/(Parametry!$B$4*(1-Parametry!$B$5)),1))</f>
        <v/>
      </c>
      <c r="J22" s="4">
        <f>IF(J21="","",ROUND(J21*Parametry!$B$6/(Parametry!$B$4*(1-Parametry!$B$5)),1))</f>
        <v/>
      </c>
      <c r="K22" s="4">
        <f>IF(K21="","",ROUND(K21*Parametry!$B$6/(Parametry!$B$4*(1-Parametry!$B$5)),1))</f>
        <v/>
      </c>
      <c r="L22" s="4">
        <f>IF(L21="","",ROUND(L21*Parametry!$B$6/(Parametry!$B$4*(1-Parametry!$B$5)),1))</f>
        <v/>
      </c>
      <c r="M22" s="4">
        <f>IF(M21="","",ROUND(M21*Parametry!$B$6/(Parametry!$B$4*(1-Parametry!$B$5)),1))</f>
        <v/>
      </c>
      <c r="N22" s="4">
        <f>IF(N21="","",ROUND(N21*Parametry!$B$6/(Parametry!$B$4*(1-Parametry!$B$5)),1))</f>
        <v/>
      </c>
      <c r="O22" s="4">
        <f>IF(O21="","",ROUND(O21*Parametry!$B$6/(Parametry!$B$4*(1-Parametry!$B$5)),1))</f>
        <v/>
      </c>
      <c r="P22" s="4">
        <f>IF(P21="","",ROUND(P21*Parametry!$B$6/(Parametry!$B$4*(1-Parametry!$B$5)),1))</f>
        <v/>
      </c>
      <c r="Q22" s="4">
        <f>IF(Q21="","",ROUND(Q21*Parametry!$B$6/(Parametry!$B$4*(1-Parametry!$B$5)),1))</f>
        <v/>
      </c>
      <c r="R22" s="4">
        <f>IF(R21="","",ROUND(R21*Parametry!$B$6/(Parametry!$B$4*(1-Parametry!$B$5)),1))</f>
        <v/>
      </c>
      <c r="S22" s="4">
        <f>IF(S21="","",ROUND(S21*Parametry!$B$6/(Parametry!$B$4*(1-Parametry!$B$5)),1))</f>
        <v/>
      </c>
      <c r="T22" s="4">
        <f>IF(T21="","",ROUND(T21*Parametry!$B$6/(Parametry!$B$4*(1-Parametry!$B$5)),1))</f>
        <v/>
      </c>
      <c r="U22" s="4">
        <f>IF(U21="","",ROUND(U21*Parametry!$B$6/(Parametry!$B$4*(1-Parametry!$B$5)),1))</f>
        <v/>
      </c>
      <c r="V22" s="4">
        <f>IF(V21="","",ROUND(V21*Parametry!$B$6/(Parametry!$B$4*(1-Parametry!$B$5)),1))</f>
        <v/>
      </c>
      <c r="W22" s="4">
        <f>IF(W21="","",ROUND(W21*Parametry!$B$6/(Parametry!$B$4*(1-Parametry!$B$5)),1))</f>
        <v/>
      </c>
      <c r="X22" s="4">
        <f>IF(X21="","",ROUND(X21*Parametry!$B$6/(Parametry!$B$4*(1-Parametry!$B$5)),1))</f>
        <v/>
      </c>
      <c r="Y22" s="4">
        <f>IF(Y21="","",ROUND(Y21*Parametry!$B$6/(Parametry!$B$4*(1-Parametry!$B$5)),1))</f>
        <v/>
      </c>
      <c r="Z22" s="4">
        <f>IF(Z21="","",ROUND(Z21*Parametry!$B$6/(Parametry!$B$4*(1-Parametry!$B$5)),1))</f>
        <v/>
      </c>
      <c r="AA22" s="4">
        <f>IF(AA21="","",ROUND(AA21*Parametry!$B$6/(Parametry!$B$4*(1-Parametry!$B$5)),1))</f>
        <v/>
      </c>
      <c r="AB22" s="4">
        <f>IF(AB21="","",ROUND(AB21*Parametry!$B$6/(Parametry!$B$4*(1-Parametry!$B$5)),1))</f>
        <v/>
      </c>
      <c r="AC22" s="4">
        <f>IF(AC21="","",ROUND(AC21*Parametry!$B$6/(Parametry!$B$4*(1-Parametry!$B$5)),1))</f>
        <v/>
      </c>
      <c r="AD22" s="4">
        <f>IF(AD21="","",ROUND(AD21*Parametry!$B$6/(Parametry!$B$4*(1-Parametry!$B$5)),1))</f>
        <v/>
      </c>
      <c r="AE22" s="4">
        <f>IF(AE21="","",ROUND(AE21*Parametry!$B$6/(Parametry!$B$4*(1-Parametry!$B$5)),1))</f>
        <v/>
      </c>
      <c r="AF22" s="4">
        <f>IF(AF21="","",ROUND(AF21*Parametry!$B$6/(Parametry!$B$4*(1-Parametry!$B$5)),1))</f>
        <v/>
      </c>
      <c r="AG22" s="4">
        <f>IF(AG21="","",ROUND(AG21*Parametry!$B$6/(Parametry!$B$4*(1-Parametry!$B$5)),1))</f>
        <v/>
      </c>
      <c r="AH22" s="4">
        <f>IF(AH21="","",ROUND(AH21*Parametry!$B$6/(Parametry!$B$4*(1-Parametry!$B$5)),1))</f>
        <v/>
      </c>
      <c r="AI22" s="4">
        <f>IF(AI21="","",ROUND(AI21*Parametry!$B$6/(Parametry!$B$4*(1-Parametry!$B$5)),1))</f>
        <v/>
      </c>
      <c r="AJ22" s="4">
        <f>IF(AJ21="","",ROUND(AJ21*Parametry!$B$6/(Parametry!$B$4*(1-Parametry!$B$5)),1))</f>
        <v/>
      </c>
      <c r="AK22" s="4">
        <f>IF(AK21="","",ROUND(AK21*Parametry!$B$6/(Parametry!$B$4*(1-Parametry!$B$5)),1))</f>
        <v/>
      </c>
      <c r="AL22" s="4">
        <f>IF(AL21="","",ROUND(AL21*Parametry!$B$6/(Parametry!$B$4*(1-Parametry!$B$5)),1))</f>
        <v/>
      </c>
      <c r="AM22" s="4">
        <f>IF(AM21="","",ROUND(AM21*Parametry!$B$6/(Parametry!$B$4*(1-Parametry!$B$5)),1))</f>
        <v/>
      </c>
      <c r="AN22" s="4">
        <f>IF(AN21="","",ROUND(AN21*Parametry!$B$6/(Parametry!$B$4*(1-Parametry!$B$5)),1))</f>
        <v/>
      </c>
      <c r="AO22" s="4">
        <f>IF(AO21="","",ROUND(AO21*Parametry!$B$6/(Parametry!$B$4*(1-Parametry!$B$5)),1))</f>
        <v/>
      </c>
      <c r="AP22" s="4">
        <f>IF(AP21="","",ROUND(AP21*Parametry!$B$6/(Parametry!$B$4*(1-Parametry!$B$5)),1))</f>
        <v/>
      </c>
      <c r="AQ22" s="4">
        <f>IF(AQ21="","",ROUND(AQ21*Parametry!$B$6/(Parametry!$B$4*(1-Parametry!$B$5)),1))</f>
        <v/>
      </c>
      <c r="AR22" s="4">
        <f>IF(AR21="","",ROUND(AR21*Parametry!$B$6/(Parametry!$B$4*(1-Parametry!$B$5)),1))</f>
        <v/>
      </c>
      <c r="AS22" s="4">
        <f>IF(AS21="","",ROUND(AS21*Parametry!$B$6/(Parametry!$B$4*(1-Parametry!$B$5)),1))</f>
        <v/>
      </c>
      <c r="AT22" s="4">
        <f>IF(AT21="","",ROUND(AT21*Parametry!$B$6/(Parametry!$B$4*(1-Parametry!$B$5)),1))</f>
        <v/>
      </c>
      <c r="AU22" s="4">
        <f>IF(AU21="","",ROUND(AU21*Parametry!$B$6/(Parametry!$B$4*(1-Parametry!$B$5)),1))</f>
        <v/>
      </c>
      <c r="AV22" s="4">
        <f>IF(AV21="","",ROUND(AV21*Parametry!$B$6/(Parametry!$B$4*(1-Parametry!$B$5)),1))</f>
        <v/>
      </c>
      <c r="AW22" s="4">
        <f>IF(AW21="","",ROUND(AW21*Parametry!$B$6/(Parametry!$B$4*(1-Parametry!$B$5)),1))</f>
        <v/>
      </c>
      <c r="AX22" s="4">
        <f>IF(AX21="","",ROUND(AX21*Parametry!$B$6/(Parametry!$B$4*(1-Parametry!$B$5)),1))</f>
        <v/>
      </c>
      <c r="AY22" s="4">
        <f>IF(AY21="","",ROUND(AY21*Parametry!$B$6/(Parametry!$B$4*(1-Parametry!$B$5)),1))</f>
        <v/>
      </c>
      <c r="AZ22" s="4">
        <f>IF(AZ21="","",ROUND(AZ21*Parametry!$B$6/(Parametry!$B$4*(1-Parametry!$B$5)),1))</f>
        <v/>
      </c>
      <c r="BA22" s="4">
        <f>IF(BA21="","",ROUND(BA21*Parametry!$B$6/(Parametry!$B$4*(1-Parametry!$B$5)),1))</f>
        <v/>
      </c>
      <c r="BB22" s="4">
        <f>IF(BB21="","",ROUND(BB21*Parametry!$B$6/(Parametry!$B$4*(1-Parametry!$B$5)),1))</f>
        <v/>
      </c>
      <c r="BC22" s="4">
        <f>IF(BC21="","",ROUND(BC21*Parametry!$B$6/(Parametry!$B$4*(1-Parametry!$B$5)),1))</f>
        <v/>
      </c>
      <c r="BD22" s="4">
        <f>IF(BD21="","",ROUND(BD21*Parametry!$B$6/(Parametry!$B$4*(1-Parametry!$B$5)),1))</f>
        <v/>
      </c>
      <c r="BE22" s="4">
        <f>IF(BE21="","",ROUND(BE21*Parametry!$B$6/(Parametry!$B$4*(1-Parametry!$B$5)),1))</f>
        <v/>
      </c>
      <c r="BF22" s="4">
        <f>IF(BF21="","",ROUND(BF21*Parametry!$B$6/(Parametry!$B$4*(1-Parametry!$B$5)),1))</f>
        <v/>
      </c>
      <c r="BG22" s="4">
        <f>IF(BG21="","",ROUND(BG21*Parametry!$B$6/(Parametry!$B$4*(1-Parametry!$B$5)),1))</f>
        <v/>
      </c>
      <c r="BH22" s="4">
        <f>IF(BH21="","",ROUND(BH21*Parametry!$B$6/(Parametry!$B$4*(1-Parametry!$B$5)),1))</f>
        <v/>
      </c>
      <c r="BI22" s="4">
        <f>IF(BI21="","",ROUND(BI21*Parametry!$B$6/(Parametry!$B$4*(1-Parametry!$B$5)),1))</f>
        <v/>
      </c>
      <c r="BJ22" s="4">
        <f>IF(BJ21="","",ROUND(BJ21*Parametry!$B$6/(Parametry!$B$4*(1-Parametry!$B$5)),1))</f>
        <v/>
      </c>
      <c r="BK22" s="4">
        <f>IF(BK21="","",ROUND(BK21*Parametry!$B$6/(Parametry!$B$4*(1-Parametry!$B$5)),1))</f>
        <v/>
      </c>
      <c r="BL22" s="4">
        <f>IF(BL21="","",ROUND(BL21*Parametry!$B$6/(Parametry!$B$4*(1-Parametry!$B$5)),1))</f>
        <v/>
      </c>
      <c r="BM22" s="4">
        <f>IF(BM21="","",ROUND(BM21*Parametry!$B$6/(Parametry!$B$4*(1-Parametry!$B$5)),1))</f>
        <v/>
      </c>
    </row>
    <row r="23">
      <c r="A23" s="19" t="n"/>
      <c r="B23" s="4" t="inlineStr">
        <is>
          <t>Skutečnost FTE</t>
        </is>
      </c>
      <c r="C23" s="20">
        <f>IF(Normy!$G$8="","",ROUND(Normy!$G$8*5*Parametry!$B$6/(Parametry!$B$4*(1-Parametry!$B$5)),1))</f>
        <v/>
      </c>
      <c r="D23" s="20">
        <f>IF(Normy!$G$8="","",ROUND(Normy!$G$8*5*Parametry!$B$6/(Parametry!$B$4*(1-Parametry!$B$5)),1))</f>
        <v/>
      </c>
      <c r="E23" s="20">
        <f>IF(Normy!$G$8="","",ROUND(Normy!$G$8*5*Parametry!$B$6/(Parametry!$B$4*(1-Parametry!$B$5)),1))</f>
        <v/>
      </c>
      <c r="F23" s="20">
        <f>IF(Normy!$G$8="","",ROUND(Normy!$G$8*5*Parametry!$B$6/(Parametry!$B$4*(1-Parametry!$B$5)),1))</f>
        <v/>
      </c>
      <c r="G23" s="20">
        <f>IF(Normy!$G$8="","",ROUND(Normy!$G$8*5*Parametry!$B$6/(Parametry!$B$4*(1-Parametry!$B$5)),1))</f>
        <v/>
      </c>
      <c r="H23" s="20">
        <f>IF(Normy!$G$8="","",ROUND(Normy!$G$8*5*Parametry!$B$6/(Parametry!$B$4*(1-Parametry!$B$5)),1))</f>
        <v/>
      </c>
      <c r="I23" s="20">
        <f>IF(Normy!$G$8="","",ROUND(Normy!$G$8*5*Parametry!$B$6/(Parametry!$B$4*(1-Parametry!$B$5)),1))</f>
        <v/>
      </c>
      <c r="J23" s="20">
        <f>IF(Normy!$G$8="","",ROUND(Normy!$G$8*5*Parametry!$B$6/(Parametry!$B$4*(1-Parametry!$B$5)),1))</f>
        <v/>
      </c>
      <c r="K23" s="20">
        <f>IF(Normy!$G$8="","",ROUND(Normy!$G$8*5*Parametry!$B$6/(Parametry!$B$4*(1-Parametry!$B$5)),1))</f>
        <v/>
      </c>
      <c r="L23" s="20">
        <f>IF(Normy!$G$8="","",ROUND(Normy!$G$8*5*Parametry!$B$6/(Parametry!$B$4*(1-Parametry!$B$5)),1))</f>
        <v/>
      </c>
      <c r="M23" s="20">
        <f>IF(Normy!$G$8="","",ROUND(Normy!$G$8*5*Parametry!$B$6/(Parametry!$B$4*(1-Parametry!$B$5)),1))</f>
        <v/>
      </c>
      <c r="N23" s="20">
        <f>IF(Normy!$G$8="","",ROUND(Normy!$G$8*5*Parametry!$B$6/(Parametry!$B$4*(1-Parametry!$B$5)),1))</f>
        <v/>
      </c>
      <c r="O23" s="20">
        <f>IF(Normy!$G$8="","",ROUND(Normy!$G$8*5*Parametry!$B$6/(Parametry!$B$4*(1-Parametry!$B$5)),1))</f>
        <v/>
      </c>
      <c r="P23" s="20">
        <f>IF(Normy!$G$8="","",ROUND(Normy!$G$8*5*Parametry!$B$6/(Parametry!$B$4*(1-Parametry!$B$5)),1))</f>
        <v/>
      </c>
      <c r="Q23" s="20">
        <f>IF(Normy!$G$8="","",ROUND(Normy!$G$8*5*Parametry!$B$6/(Parametry!$B$4*(1-Parametry!$B$5)),1))</f>
        <v/>
      </c>
      <c r="R23" s="20">
        <f>IF(Normy!$G$8="","",ROUND(Normy!$G$8*5*Parametry!$B$6/(Parametry!$B$4*(1-Parametry!$B$5)),1))</f>
        <v/>
      </c>
      <c r="S23" s="20">
        <f>IF(Normy!$G$8="","",ROUND(Normy!$G$8*5*Parametry!$B$6/(Parametry!$B$4*(1-Parametry!$B$5)),1))</f>
        <v/>
      </c>
      <c r="T23" s="20">
        <f>IF(Normy!$G$8="","",ROUND(Normy!$G$8*5*Parametry!$B$6/(Parametry!$B$4*(1-Parametry!$B$5)),1))</f>
        <v/>
      </c>
      <c r="U23" s="20">
        <f>IF(Normy!$G$8="","",ROUND(Normy!$G$8*5*Parametry!$B$6/(Parametry!$B$4*(1-Parametry!$B$5)),1))</f>
        <v/>
      </c>
      <c r="V23" s="20">
        <f>IF(Normy!$G$8="","",ROUND(Normy!$G$8*5*Parametry!$B$6/(Parametry!$B$4*(1-Parametry!$B$5)),1))</f>
        <v/>
      </c>
      <c r="W23" s="20">
        <f>IF(Normy!$G$8="","",ROUND(Normy!$G$8*5*Parametry!$B$6/(Parametry!$B$4*(1-Parametry!$B$5)),1))</f>
        <v/>
      </c>
      <c r="X23" s="20">
        <f>IF(Normy!$G$8="","",ROUND(Normy!$G$8*5*Parametry!$B$6/(Parametry!$B$4*(1-Parametry!$B$5)),1))</f>
        <v/>
      </c>
      <c r="Y23" s="20">
        <f>IF(Normy!$G$8="","",ROUND(Normy!$G$8*5*Parametry!$B$6/(Parametry!$B$4*(1-Parametry!$B$5)),1))</f>
        <v/>
      </c>
      <c r="Z23" s="20">
        <f>IF(Normy!$G$8="","",ROUND(Normy!$G$8*5*Parametry!$B$6/(Parametry!$B$4*(1-Parametry!$B$5)),1))</f>
        <v/>
      </c>
      <c r="AA23" s="20">
        <f>IF(Normy!$G$8="","",ROUND(Normy!$G$8*5*Parametry!$B$6/(Parametry!$B$4*(1-Parametry!$B$5)),1))</f>
        <v/>
      </c>
      <c r="AB23" s="20">
        <f>IF(Normy!$G$8="","",ROUND(Normy!$G$8*5*Parametry!$B$6/(Parametry!$B$4*(1-Parametry!$B$5)),1))</f>
        <v/>
      </c>
      <c r="AC23" s="20">
        <f>IF(Normy!$G$8="","",ROUND(Normy!$G$8*5*Parametry!$B$6/(Parametry!$B$4*(1-Parametry!$B$5)),1))</f>
        <v/>
      </c>
      <c r="AD23" s="20">
        <f>IF(Normy!$G$8="","",ROUND(Normy!$G$8*5*Parametry!$B$6/(Parametry!$B$4*(1-Parametry!$B$5)),1))</f>
        <v/>
      </c>
      <c r="AE23" s="20">
        <f>IF(Normy!$G$8="","",ROUND(Normy!$G$8*5*Parametry!$B$6/(Parametry!$B$4*(1-Parametry!$B$5)),1))</f>
        <v/>
      </c>
      <c r="AF23" s="20">
        <f>IF(Normy!$G$8="","",ROUND(Normy!$G$8*5*Parametry!$B$6/(Parametry!$B$4*(1-Parametry!$B$5)),1))</f>
        <v/>
      </c>
      <c r="AG23" s="20">
        <f>IF(Normy!$G$8="","",ROUND(Normy!$G$8*5*Parametry!$B$6/(Parametry!$B$4*(1-Parametry!$B$5)),1))</f>
        <v/>
      </c>
      <c r="AH23" s="20">
        <f>IF(Normy!$G$8="","",ROUND(Normy!$G$8*5*Parametry!$B$6/(Parametry!$B$4*(1-Parametry!$B$5)),1))</f>
        <v/>
      </c>
      <c r="AI23" s="20">
        <f>IF(Normy!$G$8="","",ROUND(Normy!$G$8*5*Parametry!$B$6/(Parametry!$B$4*(1-Parametry!$B$5)),1))</f>
        <v/>
      </c>
      <c r="AJ23" s="20">
        <f>IF(Normy!$G$8="","",ROUND(Normy!$G$8*5*Parametry!$B$6/(Parametry!$B$4*(1-Parametry!$B$5)),1))</f>
        <v/>
      </c>
      <c r="AK23" s="20">
        <f>IF(Normy!$G$8="","",ROUND(Normy!$G$8*5*Parametry!$B$6/(Parametry!$B$4*(1-Parametry!$B$5)),1))</f>
        <v/>
      </c>
      <c r="AL23" s="20">
        <f>IF(Normy!$G$8="","",ROUND(Normy!$G$8*5*Parametry!$B$6/(Parametry!$B$4*(1-Parametry!$B$5)),1))</f>
        <v/>
      </c>
      <c r="AM23" s="20">
        <f>IF(Normy!$G$8="","",ROUND(Normy!$G$8*5*Parametry!$B$6/(Parametry!$B$4*(1-Parametry!$B$5)),1))</f>
        <v/>
      </c>
      <c r="AN23" s="20">
        <f>IF(Normy!$G$8="","",ROUND(Normy!$G$8*5*Parametry!$B$6/(Parametry!$B$4*(1-Parametry!$B$5)),1))</f>
        <v/>
      </c>
      <c r="AO23" s="20">
        <f>IF(Normy!$G$8="","",ROUND(Normy!$G$8*5*Parametry!$B$6/(Parametry!$B$4*(1-Parametry!$B$5)),1))</f>
        <v/>
      </c>
      <c r="AP23" s="20">
        <f>IF(Normy!$G$8="","",ROUND(Normy!$G$8*5*Parametry!$B$6/(Parametry!$B$4*(1-Parametry!$B$5)),1))</f>
        <v/>
      </c>
      <c r="AQ23" s="20">
        <f>IF(Normy!$G$8="","",ROUND(Normy!$G$8*5*Parametry!$B$6/(Parametry!$B$4*(1-Parametry!$B$5)),1))</f>
        <v/>
      </c>
      <c r="AR23" s="20">
        <f>IF(Normy!$G$8="","",ROUND(Normy!$G$8*5*Parametry!$B$6/(Parametry!$B$4*(1-Parametry!$B$5)),1))</f>
        <v/>
      </c>
      <c r="AS23" s="20">
        <f>IF(Normy!$G$8="","",ROUND(Normy!$G$8*5*Parametry!$B$6/(Parametry!$B$4*(1-Parametry!$B$5)),1))</f>
        <v/>
      </c>
      <c r="AT23" s="20">
        <f>IF(Normy!$G$8="","",ROUND(Normy!$G$8*5*Parametry!$B$6/(Parametry!$B$4*(1-Parametry!$B$5)),1))</f>
        <v/>
      </c>
      <c r="AU23" s="20">
        <f>IF(Normy!$G$8="","",ROUND(Normy!$G$8*5*Parametry!$B$6/(Parametry!$B$4*(1-Parametry!$B$5)),1))</f>
        <v/>
      </c>
      <c r="AV23" s="20">
        <f>IF(Normy!$G$8="","",ROUND(Normy!$G$8*5*Parametry!$B$6/(Parametry!$B$4*(1-Parametry!$B$5)),1))</f>
        <v/>
      </c>
      <c r="AW23" s="20">
        <f>IF(Normy!$G$8="","",ROUND(Normy!$G$8*5*Parametry!$B$6/(Parametry!$B$4*(1-Parametry!$B$5)),1))</f>
        <v/>
      </c>
      <c r="AX23" s="20">
        <f>IF(Normy!$G$8="","",ROUND(Normy!$G$8*5*Parametry!$B$6/(Parametry!$B$4*(1-Parametry!$B$5)),1))</f>
        <v/>
      </c>
      <c r="AY23" s="20">
        <f>IF(Normy!$G$8="","",ROUND(Normy!$G$8*5*Parametry!$B$6/(Parametry!$B$4*(1-Parametry!$B$5)),1))</f>
        <v/>
      </c>
      <c r="AZ23" s="20">
        <f>IF(Normy!$G$8="","",ROUND(Normy!$G$8*5*Parametry!$B$6/(Parametry!$B$4*(1-Parametry!$B$5)),1))</f>
        <v/>
      </c>
      <c r="BA23" s="20">
        <f>IF(Normy!$G$8="","",ROUND(Normy!$G$8*5*Parametry!$B$6/(Parametry!$B$4*(1-Parametry!$B$5)),1))</f>
        <v/>
      </c>
      <c r="BB23" s="20">
        <f>IF(Normy!$G$8="","",ROUND(Normy!$G$8*5*Parametry!$B$6/(Parametry!$B$4*(1-Parametry!$B$5)),1))</f>
        <v/>
      </c>
      <c r="BC23" s="20">
        <f>IF(Normy!$G$8="","",ROUND(Normy!$G$8*5*Parametry!$B$6/(Parametry!$B$4*(1-Parametry!$B$5)),1))</f>
        <v/>
      </c>
      <c r="BD23" s="20">
        <f>IF(Normy!$G$8="","",ROUND(Normy!$G$8*5*Parametry!$B$6/(Parametry!$B$4*(1-Parametry!$B$5)),1))</f>
        <v/>
      </c>
      <c r="BE23" s="20">
        <f>IF(Normy!$G$8="","",ROUND(Normy!$G$8*5*Parametry!$B$6/(Parametry!$B$4*(1-Parametry!$B$5)),1))</f>
        <v/>
      </c>
      <c r="BF23" s="20">
        <f>IF(Normy!$G$8="","",ROUND(Normy!$G$8*5*Parametry!$B$6/(Parametry!$B$4*(1-Parametry!$B$5)),1))</f>
        <v/>
      </c>
      <c r="BG23" s="20">
        <f>IF(Normy!$G$8="","",ROUND(Normy!$G$8*5*Parametry!$B$6/(Parametry!$B$4*(1-Parametry!$B$5)),1))</f>
        <v/>
      </c>
      <c r="BH23" s="20">
        <f>IF(Normy!$G$8="","",ROUND(Normy!$G$8*5*Parametry!$B$6/(Parametry!$B$4*(1-Parametry!$B$5)),1))</f>
        <v/>
      </c>
      <c r="BI23" s="20">
        <f>IF(Normy!$G$8="","",ROUND(Normy!$G$8*5*Parametry!$B$6/(Parametry!$B$4*(1-Parametry!$B$5)),1))</f>
        <v/>
      </c>
      <c r="BJ23" s="20">
        <f>IF(Normy!$G$8="","",ROUND(Normy!$G$8*5*Parametry!$B$6/(Parametry!$B$4*(1-Parametry!$B$5)),1))</f>
        <v/>
      </c>
      <c r="BK23" s="20">
        <f>IF(Normy!$G$8="","",ROUND(Normy!$G$8*5*Parametry!$B$6/(Parametry!$B$4*(1-Parametry!$B$5)),1))</f>
        <v/>
      </c>
      <c r="BL23" s="20">
        <f>IF(Normy!$G$8="","",ROUND(Normy!$G$8*5*Parametry!$B$6/(Parametry!$B$4*(1-Parametry!$B$5)),1))</f>
        <v/>
      </c>
      <c r="BM23" s="20">
        <f>IF(Normy!$G$8="","",ROUND(Normy!$G$8*5*Parametry!$B$6/(Parametry!$B$4*(1-Parametry!$B$5)),1))</f>
        <v/>
      </c>
    </row>
    <row r="24">
      <c r="A24" s="19" t="n"/>
      <c r="B24" s="4" t="inlineStr">
        <is>
          <t>Gap FTE (skut. − potřeba)</t>
        </is>
      </c>
      <c r="C24" s="20">
        <f>IF(OR(C23="",C22=""),"",C23-C22)</f>
        <v/>
      </c>
      <c r="D24" s="20">
        <f>IF(OR(D23="",D22=""),"",D23-D22)</f>
        <v/>
      </c>
      <c r="E24" s="20">
        <f>IF(OR(E23="",E22=""),"",E23-E22)</f>
        <v/>
      </c>
      <c r="F24" s="20">
        <f>IF(OR(F23="",F22=""),"",F23-F22)</f>
        <v/>
      </c>
      <c r="G24" s="20">
        <f>IF(OR(G23="",G22=""),"",G23-G22)</f>
        <v/>
      </c>
      <c r="H24" s="20">
        <f>IF(OR(H23="",H22=""),"",H23-H22)</f>
        <v/>
      </c>
      <c r="I24" s="20">
        <f>IF(OR(I23="",I22=""),"",I23-I22)</f>
        <v/>
      </c>
      <c r="J24" s="20">
        <f>IF(OR(J23="",J22=""),"",J23-J22)</f>
        <v/>
      </c>
      <c r="K24" s="20">
        <f>IF(OR(K23="",K22=""),"",K23-K22)</f>
        <v/>
      </c>
      <c r="L24" s="20">
        <f>IF(OR(L23="",L22=""),"",L23-L22)</f>
        <v/>
      </c>
      <c r="M24" s="20">
        <f>IF(OR(M23="",M22=""),"",M23-M22)</f>
        <v/>
      </c>
      <c r="N24" s="20">
        <f>IF(OR(N23="",N22=""),"",N23-N22)</f>
        <v/>
      </c>
      <c r="O24" s="20">
        <f>IF(OR(O23="",O22=""),"",O23-O22)</f>
        <v/>
      </c>
      <c r="P24" s="20">
        <f>IF(OR(P23="",P22=""),"",P23-P22)</f>
        <v/>
      </c>
      <c r="Q24" s="20">
        <f>IF(OR(Q23="",Q22=""),"",Q23-Q22)</f>
        <v/>
      </c>
      <c r="R24" s="20">
        <f>IF(OR(R23="",R22=""),"",R23-R22)</f>
        <v/>
      </c>
      <c r="S24" s="20">
        <f>IF(OR(S23="",S22=""),"",S23-S22)</f>
        <v/>
      </c>
      <c r="T24" s="20">
        <f>IF(OR(T23="",T22=""),"",T23-T22)</f>
        <v/>
      </c>
      <c r="U24" s="20">
        <f>IF(OR(U23="",U22=""),"",U23-U22)</f>
        <v/>
      </c>
      <c r="V24" s="20">
        <f>IF(OR(V23="",V22=""),"",V23-V22)</f>
        <v/>
      </c>
      <c r="W24" s="20">
        <f>IF(OR(W23="",W22=""),"",W23-W22)</f>
        <v/>
      </c>
      <c r="X24" s="20">
        <f>IF(OR(X23="",X22=""),"",X23-X22)</f>
        <v/>
      </c>
      <c r="Y24" s="20">
        <f>IF(OR(Y23="",Y22=""),"",Y23-Y22)</f>
        <v/>
      </c>
      <c r="Z24" s="20">
        <f>IF(OR(Z23="",Z22=""),"",Z23-Z22)</f>
        <v/>
      </c>
      <c r="AA24" s="20">
        <f>IF(OR(AA23="",AA22=""),"",AA23-AA22)</f>
        <v/>
      </c>
      <c r="AB24" s="20">
        <f>IF(OR(AB23="",AB22=""),"",AB23-AB22)</f>
        <v/>
      </c>
      <c r="AC24" s="20">
        <f>IF(OR(AC23="",AC22=""),"",AC23-AC22)</f>
        <v/>
      </c>
      <c r="AD24" s="20">
        <f>IF(OR(AD23="",AD22=""),"",AD23-AD22)</f>
        <v/>
      </c>
      <c r="AE24" s="20">
        <f>IF(OR(AE23="",AE22=""),"",AE23-AE22)</f>
        <v/>
      </c>
      <c r="AF24" s="20">
        <f>IF(OR(AF23="",AF22=""),"",AF23-AF22)</f>
        <v/>
      </c>
      <c r="AG24" s="20">
        <f>IF(OR(AG23="",AG22=""),"",AG23-AG22)</f>
        <v/>
      </c>
      <c r="AH24" s="20">
        <f>IF(OR(AH23="",AH22=""),"",AH23-AH22)</f>
        <v/>
      </c>
      <c r="AI24" s="20">
        <f>IF(OR(AI23="",AI22=""),"",AI23-AI22)</f>
        <v/>
      </c>
      <c r="AJ24" s="20">
        <f>IF(OR(AJ23="",AJ22=""),"",AJ23-AJ22)</f>
        <v/>
      </c>
      <c r="AK24" s="20">
        <f>IF(OR(AK23="",AK22=""),"",AK23-AK22)</f>
        <v/>
      </c>
      <c r="AL24" s="20">
        <f>IF(OR(AL23="",AL22=""),"",AL23-AL22)</f>
        <v/>
      </c>
      <c r="AM24" s="20">
        <f>IF(OR(AM23="",AM22=""),"",AM23-AM22)</f>
        <v/>
      </c>
      <c r="AN24" s="20">
        <f>IF(OR(AN23="",AN22=""),"",AN23-AN22)</f>
        <v/>
      </c>
      <c r="AO24" s="20">
        <f>IF(OR(AO23="",AO22=""),"",AO23-AO22)</f>
        <v/>
      </c>
      <c r="AP24" s="20">
        <f>IF(OR(AP23="",AP22=""),"",AP23-AP22)</f>
        <v/>
      </c>
      <c r="AQ24" s="20">
        <f>IF(OR(AQ23="",AQ22=""),"",AQ23-AQ22)</f>
        <v/>
      </c>
      <c r="AR24" s="20">
        <f>IF(OR(AR23="",AR22=""),"",AR23-AR22)</f>
        <v/>
      </c>
      <c r="AS24" s="20">
        <f>IF(OR(AS23="",AS22=""),"",AS23-AS22)</f>
        <v/>
      </c>
      <c r="AT24" s="20">
        <f>IF(OR(AT23="",AT22=""),"",AT23-AT22)</f>
        <v/>
      </c>
      <c r="AU24" s="20">
        <f>IF(OR(AU23="",AU22=""),"",AU23-AU22)</f>
        <v/>
      </c>
      <c r="AV24" s="20">
        <f>IF(OR(AV23="",AV22=""),"",AV23-AV22)</f>
        <v/>
      </c>
      <c r="AW24" s="20">
        <f>IF(OR(AW23="",AW22=""),"",AW23-AW22)</f>
        <v/>
      </c>
      <c r="AX24" s="20">
        <f>IF(OR(AX23="",AX22=""),"",AX23-AX22)</f>
        <v/>
      </c>
      <c r="AY24" s="20">
        <f>IF(OR(AY23="",AY22=""),"",AY23-AY22)</f>
        <v/>
      </c>
      <c r="AZ24" s="20">
        <f>IF(OR(AZ23="",AZ22=""),"",AZ23-AZ22)</f>
        <v/>
      </c>
      <c r="BA24" s="20">
        <f>IF(OR(BA23="",BA22=""),"",BA23-BA22)</f>
        <v/>
      </c>
      <c r="BB24" s="20">
        <f>IF(OR(BB23="",BB22=""),"",BB23-BB22)</f>
        <v/>
      </c>
      <c r="BC24" s="20">
        <f>IF(OR(BC23="",BC22=""),"",BC23-BC22)</f>
        <v/>
      </c>
      <c r="BD24" s="20">
        <f>IF(OR(BD23="",BD22=""),"",BD23-BD22)</f>
        <v/>
      </c>
      <c r="BE24" s="20">
        <f>IF(OR(BE23="",BE22=""),"",BE23-BE22)</f>
        <v/>
      </c>
      <c r="BF24" s="20">
        <f>IF(OR(BF23="",BF22=""),"",BF23-BF22)</f>
        <v/>
      </c>
      <c r="BG24" s="20">
        <f>IF(OR(BG23="",BG22=""),"",BG23-BG22)</f>
        <v/>
      </c>
      <c r="BH24" s="20">
        <f>IF(OR(BH23="",BH22=""),"",BH23-BH22)</f>
        <v/>
      </c>
      <c r="BI24" s="20">
        <f>IF(OR(BI23="",BI22=""),"",BI23-BI22)</f>
        <v/>
      </c>
      <c r="BJ24" s="20">
        <f>IF(OR(BJ23="",BJ22=""),"",BJ23-BJ22)</f>
        <v/>
      </c>
      <c r="BK24" s="20">
        <f>IF(OR(BK23="",BK22=""),"",BK23-BK22)</f>
        <v/>
      </c>
      <c r="BL24" s="20">
        <f>IF(OR(BL23="",BL22=""),"",BL23-BL22)</f>
        <v/>
      </c>
      <c r="BM24" s="20">
        <f>IF(OR(BM23="",BM22=""),"",BM23-BM22)</f>
        <v/>
      </c>
    </row>
    <row r="25">
      <c r="A25" s="18" t="inlineStr">
        <is>
          <t>GB/DP</t>
        </is>
      </c>
      <c r="B25" s="4" t="inlineStr">
        <is>
          <t>Potřebné směny (8h)</t>
        </is>
      </c>
      <c r="C25" s="4">
        <f>IF(OR(Normy!$C$9="",'Volume po lince'!B8=0),"",ROUNDUP('Volume po lince'!B8/(Normy!$C$9*IF(Normy!$D$9="",Parametry!$B$7,Normy!$D$9)),0))</f>
        <v/>
      </c>
      <c r="D25" s="4">
        <f>IF(OR(Normy!$C$9="",'Volume po lince'!C8=0),"",ROUNDUP('Volume po lince'!C8/(Normy!$C$9*IF(Normy!$D$9="",Parametry!$B$7,Normy!$D$9)),0))</f>
        <v/>
      </c>
      <c r="E25" s="4">
        <f>IF(OR(Normy!$C$9="",'Volume po lince'!D8=0),"",ROUNDUP('Volume po lince'!D8/(Normy!$C$9*IF(Normy!$D$9="",Parametry!$B$7,Normy!$D$9)),0))</f>
        <v/>
      </c>
      <c r="F25" s="4">
        <f>IF(OR(Normy!$C$9="",'Volume po lince'!E8=0),"",ROUNDUP('Volume po lince'!E8/(Normy!$C$9*IF(Normy!$D$9="",Parametry!$B$7,Normy!$D$9)),0))</f>
        <v/>
      </c>
      <c r="G25" s="4">
        <f>IF(OR(Normy!$C$9="",'Volume po lince'!F8=0),"",ROUNDUP('Volume po lince'!F8/(Normy!$C$9*IF(Normy!$D$9="",Parametry!$B$7,Normy!$D$9)),0))</f>
        <v/>
      </c>
      <c r="H25" s="4">
        <f>IF(OR(Normy!$C$9="",'Volume po lince'!G8=0),"",ROUNDUP('Volume po lince'!G8/(Normy!$C$9*IF(Normy!$D$9="",Parametry!$B$7,Normy!$D$9)),0))</f>
        <v/>
      </c>
      <c r="I25" s="4">
        <f>IF(OR(Normy!$C$9="",'Volume po lince'!H8=0),"",ROUNDUP('Volume po lince'!H8/(Normy!$C$9*IF(Normy!$D$9="",Parametry!$B$7,Normy!$D$9)),0))</f>
        <v/>
      </c>
      <c r="J25" s="4">
        <f>IF(OR(Normy!$C$9="",'Volume po lince'!I8=0),"",ROUNDUP('Volume po lince'!I8/(Normy!$C$9*IF(Normy!$D$9="",Parametry!$B$7,Normy!$D$9)),0))</f>
        <v/>
      </c>
      <c r="K25" s="4">
        <f>IF(OR(Normy!$C$9="",'Volume po lince'!J8=0),"",ROUNDUP('Volume po lince'!J8/(Normy!$C$9*IF(Normy!$D$9="",Parametry!$B$7,Normy!$D$9)),0))</f>
        <v/>
      </c>
      <c r="L25" s="4">
        <f>IF(OR(Normy!$C$9="",'Volume po lince'!K8=0),"",ROUNDUP('Volume po lince'!K8/(Normy!$C$9*IF(Normy!$D$9="",Parametry!$B$7,Normy!$D$9)),0))</f>
        <v/>
      </c>
      <c r="M25" s="4">
        <f>IF(OR(Normy!$C$9="",'Volume po lince'!L8=0),"",ROUNDUP('Volume po lince'!L8/(Normy!$C$9*IF(Normy!$D$9="",Parametry!$B$7,Normy!$D$9)),0))</f>
        <v/>
      </c>
      <c r="N25" s="4">
        <f>IF(OR(Normy!$C$9="",'Volume po lince'!M8=0),"",ROUNDUP('Volume po lince'!M8/(Normy!$C$9*IF(Normy!$D$9="",Parametry!$B$7,Normy!$D$9)),0))</f>
        <v/>
      </c>
      <c r="O25" s="4">
        <f>IF(OR(Normy!$C$9="",'Volume po lince'!N8=0),"",ROUNDUP('Volume po lince'!N8/(Normy!$C$9*IF(Normy!$D$9="",Parametry!$B$7,Normy!$D$9)),0))</f>
        <v/>
      </c>
      <c r="P25" s="4">
        <f>IF(OR(Normy!$C$9="",'Volume po lince'!O8=0),"",ROUNDUP('Volume po lince'!O8/(Normy!$C$9*IF(Normy!$D$9="",Parametry!$B$7,Normy!$D$9)),0))</f>
        <v/>
      </c>
      <c r="Q25" s="4">
        <f>IF(OR(Normy!$C$9="",'Volume po lince'!P8=0),"",ROUNDUP('Volume po lince'!P8/(Normy!$C$9*IF(Normy!$D$9="",Parametry!$B$7,Normy!$D$9)),0))</f>
        <v/>
      </c>
      <c r="R25" s="4">
        <f>IF(OR(Normy!$C$9="",'Volume po lince'!Q8=0),"",ROUNDUP('Volume po lince'!Q8/(Normy!$C$9*IF(Normy!$D$9="",Parametry!$B$7,Normy!$D$9)),0))</f>
        <v/>
      </c>
      <c r="S25" s="4">
        <f>IF(OR(Normy!$C$9="",'Volume po lince'!R8=0),"",ROUNDUP('Volume po lince'!R8/(Normy!$C$9*IF(Normy!$D$9="",Parametry!$B$7,Normy!$D$9)),0))</f>
        <v/>
      </c>
      <c r="T25" s="4">
        <f>IF(OR(Normy!$C$9="",'Volume po lince'!S8=0),"",ROUNDUP('Volume po lince'!S8/(Normy!$C$9*IF(Normy!$D$9="",Parametry!$B$7,Normy!$D$9)),0))</f>
        <v/>
      </c>
      <c r="U25" s="4">
        <f>IF(OR(Normy!$C$9="",'Volume po lince'!T8=0),"",ROUNDUP('Volume po lince'!T8/(Normy!$C$9*IF(Normy!$D$9="",Parametry!$B$7,Normy!$D$9)),0))</f>
        <v/>
      </c>
      <c r="V25" s="4">
        <f>IF(OR(Normy!$C$9="",'Volume po lince'!U8=0),"",ROUNDUP('Volume po lince'!U8/(Normy!$C$9*IF(Normy!$D$9="",Parametry!$B$7,Normy!$D$9)),0))</f>
        <v/>
      </c>
      <c r="W25" s="4">
        <f>IF(OR(Normy!$C$9="",'Volume po lince'!V8=0),"",ROUNDUP('Volume po lince'!V8/(Normy!$C$9*IF(Normy!$D$9="",Parametry!$B$7,Normy!$D$9)),0))</f>
        <v/>
      </c>
      <c r="X25" s="4">
        <f>IF(OR(Normy!$C$9="",'Volume po lince'!W8=0),"",ROUNDUP('Volume po lince'!W8/(Normy!$C$9*IF(Normy!$D$9="",Parametry!$B$7,Normy!$D$9)),0))</f>
        <v/>
      </c>
      <c r="Y25" s="4">
        <f>IF(OR(Normy!$C$9="",'Volume po lince'!X8=0),"",ROUNDUP('Volume po lince'!X8/(Normy!$C$9*IF(Normy!$D$9="",Parametry!$B$7,Normy!$D$9)),0))</f>
        <v/>
      </c>
      <c r="Z25" s="4">
        <f>IF(OR(Normy!$C$9="",'Volume po lince'!Y8=0),"",ROUNDUP('Volume po lince'!Y8/(Normy!$C$9*IF(Normy!$D$9="",Parametry!$B$7,Normy!$D$9)),0))</f>
        <v/>
      </c>
      <c r="AA25" s="4">
        <f>IF(OR(Normy!$C$9="",'Volume po lince'!Z8=0),"",ROUNDUP('Volume po lince'!Z8/(Normy!$C$9*IF(Normy!$D$9="",Parametry!$B$7,Normy!$D$9)),0))</f>
        <v/>
      </c>
      <c r="AB25" s="4">
        <f>IF(OR(Normy!$C$9="",'Volume po lince'!AA8=0),"",ROUNDUP('Volume po lince'!AA8/(Normy!$C$9*IF(Normy!$D$9="",Parametry!$B$7,Normy!$D$9)),0))</f>
        <v/>
      </c>
      <c r="AC25" s="4">
        <f>IF(OR(Normy!$C$9="",'Volume po lince'!AB8=0),"",ROUNDUP('Volume po lince'!AB8/(Normy!$C$9*IF(Normy!$D$9="",Parametry!$B$7,Normy!$D$9)),0))</f>
        <v/>
      </c>
      <c r="AD25" s="4">
        <f>IF(OR(Normy!$C$9="",'Volume po lince'!AC8=0),"",ROUNDUP('Volume po lince'!AC8/(Normy!$C$9*IF(Normy!$D$9="",Parametry!$B$7,Normy!$D$9)),0))</f>
        <v/>
      </c>
      <c r="AE25" s="4">
        <f>IF(OR(Normy!$C$9="",'Volume po lince'!AD8=0),"",ROUNDUP('Volume po lince'!AD8/(Normy!$C$9*IF(Normy!$D$9="",Parametry!$B$7,Normy!$D$9)),0))</f>
        <v/>
      </c>
      <c r="AF25" s="4">
        <f>IF(OR(Normy!$C$9="",'Volume po lince'!AE8=0),"",ROUNDUP('Volume po lince'!AE8/(Normy!$C$9*IF(Normy!$D$9="",Parametry!$B$7,Normy!$D$9)),0))</f>
        <v/>
      </c>
      <c r="AG25" s="4">
        <f>IF(OR(Normy!$C$9="",'Volume po lince'!AF8=0),"",ROUNDUP('Volume po lince'!AF8/(Normy!$C$9*IF(Normy!$D$9="",Parametry!$B$7,Normy!$D$9)),0))</f>
        <v/>
      </c>
      <c r="AH25" s="4">
        <f>IF(OR(Normy!$C$9="",'Volume po lince'!AG8=0),"",ROUNDUP('Volume po lince'!AG8/(Normy!$C$9*IF(Normy!$D$9="",Parametry!$B$7,Normy!$D$9)),0))</f>
        <v/>
      </c>
      <c r="AI25" s="4">
        <f>IF(OR(Normy!$C$9="",'Volume po lince'!AH8=0),"",ROUNDUP('Volume po lince'!AH8/(Normy!$C$9*IF(Normy!$D$9="",Parametry!$B$7,Normy!$D$9)),0))</f>
        <v/>
      </c>
      <c r="AJ25" s="4">
        <f>IF(OR(Normy!$C$9="",'Volume po lince'!AI8=0),"",ROUNDUP('Volume po lince'!AI8/(Normy!$C$9*IF(Normy!$D$9="",Parametry!$B$7,Normy!$D$9)),0))</f>
        <v/>
      </c>
      <c r="AK25" s="4">
        <f>IF(OR(Normy!$C$9="",'Volume po lince'!AJ8=0),"",ROUNDUP('Volume po lince'!AJ8/(Normy!$C$9*IF(Normy!$D$9="",Parametry!$B$7,Normy!$D$9)),0))</f>
        <v/>
      </c>
      <c r="AL25" s="4">
        <f>IF(OR(Normy!$C$9="",'Volume po lince'!AK8=0),"",ROUNDUP('Volume po lince'!AK8/(Normy!$C$9*IF(Normy!$D$9="",Parametry!$B$7,Normy!$D$9)),0))</f>
        <v/>
      </c>
      <c r="AM25" s="4">
        <f>IF(OR(Normy!$C$9="",'Volume po lince'!AL8=0),"",ROUNDUP('Volume po lince'!AL8/(Normy!$C$9*IF(Normy!$D$9="",Parametry!$B$7,Normy!$D$9)),0))</f>
        <v/>
      </c>
      <c r="AN25" s="4">
        <f>IF(OR(Normy!$C$9="",'Volume po lince'!AM8=0),"",ROUNDUP('Volume po lince'!AM8/(Normy!$C$9*IF(Normy!$D$9="",Parametry!$B$7,Normy!$D$9)),0))</f>
        <v/>
      </c>
      <c r="AO25" s="4">
        <f>IF(OR(Normy!$C$9="",'Volume po lince'!AN8=0),"",ROUNDUP('Volume po lince'!AN8/(Normy!$C$9*IF(Normy!$D$9="",Parametry!$B$7,Normy!$D$9)),0))</f>
        <v/>
      </c>
      <c r="AP25" s="4">
        <f>IF(OR(Normy!$C$9="",'Volume po lince'!AO8=0),"",ROUNDUP('Volume po lince'!AO8/(Normy!$C$9*IF(Normy!$D$9="",Parametry!$B$7,Normy!$D$9)),0))</f>
        <v/>
      </c>
      <c r="AQ25" s="4">
        <f>IF(OR(Normy!$C$9="",'Volume po lince'!AP8=0),"",ROUNDUP('Volume po lince'!AP8/(Normy!$C$9*IF(Normy!$D$9="",Parametry!$B$7,Normy!$D$9)),0))</f>
        <v/>
      </c>
      <c r="AR25" s="4">
        <f>IF(OR(Normy!$C$9="",'Volume po lince'!AQ8=0),"",ROUNDUP('Volume po lince'!AQ8/(Normy!$C$9*IF(Normy!$D$9="",Parametry!$B$7,Normy!$D$9)),0))</f>
        <v/>
      </c>
      <c r="AS25" s="4">
        <f>IF(OR(Normy!$C$9="",'Volume po lince'!AR8=0),"",ROUNDUP('Volume po lince'!AR8/(Normy!$C$9*IF(Normy!$D$9="",Parametry!$B$7,Normy!$D$9)),0))</f>
        <v/>
      </c>
      <c r="AT25" s="4">
        <f>IF(OR(Normy!$C$9="",'Volume po lince'!AS8=0),"",ROUNDUP('Volume po lince'!AS8/(Normy!$C$9*IF(Normy!$D$9="",Parametry!$B$7,Normy!$D$9)),0))</f>
        <v/>
      </c>
      <c r="AU25" s="4">
        <f>IF(OR(Normy!$C$9="",'Volume po lince'!AT8=0),"",ROUNDUP('Volume po lince'!AT8/(Normy!$C$9*IF(Normy!$D$9="",Parametry!$B$7,Normy!$D$9)),0))</f>
        <v/>
      </c>
      <c r="AV25" s="4">
        <f>IF(OR(Normy!$C$9="",'Volume po lince'!AU8=0),"",ROUNDUP('Volume po lince'!AU8/(Normy!$C$9*IF(Normy!$D$9="",Parametry!$B$7,Normy!$D$9)),0))</f>
        <v/>
      </c>
      <c r="AW25" s="4">
        <f>IF(OR(Normy!$C$9="",'Volume po lince'!AV8=0),"",ROUNDUP('Volume po lince'!AV8/(Normy!$C$9*IF(Normy!$D$9="",Parametry!$B$7,Normy!$D$9)),0))</f>
        <v/>
      </c>
      <c r="AX25" s="4">
        <f>IF(OR(Normy!$C$9="",'Volume po lince'!AW8=0),"",ROUNDUP('Volume po lince'!AW8/(Normy!$C$9*IF(Normy!$D$9="",Parametry!$B$7,Normy!$D$9)),0))</f>
        <v/>
      </c>
      <c r="AY25" s="4">
        <f>IF(OR(Normy!$C$9="",'Volume po lince'!AX8=0),"",ROUNDUP('Volume po lince'!AX8/(Normy!$C$9*IF(Normy!$D$9="",Parametry!$B$7,Normy!$D$9)),0))</f>
        <v/>
      </c>
      <c r="AZ25" s="4">
        <f>IF(OR(Normy!$C$9="",'Volume po lince'!AY8=0),"",ROUNDUP('Volume po lince'!AY8/(Normy!$C$9*IF(Normy!$D$9="",Parametry!$B$7,Normy!$D$9)),0))</f>
        <v/>
      </c>
      <c r="BA25" s="4">
        <f>IF(OR(Normy!$C$9="",'Volume po lince'!AZ8=0),"",ROUNDUP('Volume po lince'!AZ8/(Normy!$C$9*IF(Normy!$D$9="",Parametry!$B$7,Normy!$D$9)),0))</f>
        <v/>
      </c>
      <c r="BB25" s="4">
        <f>IF(OR(Normy!$C$9="",'Volume po lince'!BA8=0),"",ROUNDUP('Volume po lince'!BA8/(Normy!$C$9*IF(Normy!$D$9="",Parametry!$B$7,Normy!$D$9)),0))</f>
        <v/>
      </c>
      <c r="BC25" s="4">
        <f>IF(OR(Normy!$C$9="",'Volume po lince'!BB8=0),"",ROUNDUP('Volume po lince'!BB8/(Normy!$C$9*IF(Normy!$D$9="",Parametry!$B$7,Normy!$D$9)),0))</f>
        <v/>
      </c>
      <c r="BD25" s="4">
        <f>IF(OR(Normy!$C$9="",'Volume po lince'!BC8=0),"",ROUNDUP('Volume po lince'!BC8/(Normy!$C$9*IF(Normy!$D$9="",Parametry!$B$7,Normy!$D$9)),0))</f>
        <v/>
      </c>
      <c r="BE25" s="4">
        <f>IF(OR(Normy!$C$9="",'Volume po lince'!BD8=0),"",ROUNDUP('Volume po lince'!BD8/(Normy!$C$9*IF(Normy!$D$9="",Parametry!$B$7,Normy!$D$9)),0))</f>
        <v/>
      </c>
      <c r="BF25" s="4">
        <f>IF(OR(Normy!$C$9="",'Volume po lince'!BE8=0),"",ROUNDUP('Volume po lince'!BE8/(Normy!$C$9*IF(Normy!$D$9="",Parametry!$B$7,Normy!$D$9)),0))</f>
        <v/>
      </c>
      <c r="BG25" s="4">
        <f>IF(OR(Normy!$C$9="",'Volume po lince'!BF8=0),"",ROUNDUP('Volume po lince'!BF8/(Normy!$C$9*IF(Normy!$D$9="",Parametry!$B$7,Normy!$D$9)),0))</f>
        <v/>
      </c>
      <c r="BH25" s="4">
        <f>IF(OR(Normy!$C$9="",'Volume po lince'!BG8=0),"",ROUNDUP('Volume po lince'!BG8/(Normy!$C$9*IF(Normy!$D$9="",Parametry!$B$7,Normy!$D$9)),0))</f>
        <v/>
      </c>
      <c r="BI25" s="4">
        <f>IF(OR(Normy!$C$9="",'Volume po lince'!BH8=0),"",ROUNDUP('Volume po lince'!BH8/(Normy!$C$9*IF(Normy!$D$9="",Parametry!$B$7,Normy!$D$9)),0))</f>
        <v/>
      </c>
      <c r="BJ25" s="4">
        <f>IF(OR(Normy!$C$9="",'Volume po lince'!BI8=0),"",ROUNDUP('Volume po lince'!BI8/(Normy!$C$9*IF(Normy!$D$9="",Parametry!$B$7,Normy!$D$9)),0))</f>
        <v/>
      </c>
      <c r="BK25" s="4">
        <f>IF(OR(Normy!$C$9="",'Volume po lince'!BJ8=0),"",ROUNDUP('Volume po lince'!BJ8/(Normy!$C$9*IF(Normy!$D$9="",Parametry!$B$7,Normy!$D$9)),0))</f>
        <v/>
      </c>
      <c r="BL25" s="4">
        <f>IF(OR(Normy!$C$9="",'Volume po lince'!BK8=0),"",ROUNDUP('Volume po lince'!BK8/(Normy!$C$9*IF(Normy!$D$9="",Parametry!$B$7,Normy!$D$9)),0))</f>
        <v/>
      </c>
      <c r="BM25" s="4">
        <f>IF(OR(Normy!$C$9="",'Volume po lince'!BL8=0),"",ROUNDUP('Volume po lince'!BL8/(Normy!$C$9*IF(Normy!$D$9="",Parametry!$B$7,Normy!$D$9)),0))</f>
        <v/>
      </c>
    </row>
    <row r="26">
      <c r="A26" s="19" t="n"/>
      <c r="B26" s="4" t="inlineStr">
        <is>
          <t>OP-směn</t>
        </is>
      </c>
      <c r="C26" s="4">
        <f>IF(OR(C25="",Normy!$E$9=""),"",C25*Normy!$E$9)</f>
        <v/>
      </c>
      <c r="D26" s="4">
        <f>IF(OR(D25="",Normy!$E$9=""),"",D25*Normy!$E$9)</f>
        <v/>
      </c>
      <c r="E26" s="4">
        <f>IF(OR(E25="",Normy!$E$9=""),"",E25*Normy!$E$9)</f>
        <v/>
      </c>
      <c r="F26" s="4">
        <f>IF(OR(F25="",Normy!$E$9=""),"",F25*Normy!$E$9)</f>
        <v/>
      </c>
      <c r="G26" s="4">
        <f>IF(OR(G25="",Normy!$E$9=""),"",G25*Normy!$E$9)</f>
        <v/>
      </c>
      <c r="H26" s="4">
        <f>IF(OR(H25="",Normy!$E$9=""),"",H25*Normy!$E$9)</f>
        <v/>
      </c>
      <c r="I26" s="4">
        <f>IF(OR(I25="",Normy!$E$9=""),"",I25*Normy!$E$9)</f>
        <v/>
      </c>
      <c r="J26" s="4">
        <f>IF(OR(J25="",Normy!$E$9=""),"",J25*Normy!$E$9)</f>
        <v/>
      </c>
      <c r="K26" s="4">
        <f>IF(OR(K25="",Normy!$E$9=""),"",K25*Normy!$E$9)</f>
        <v/>
      </c>
      <c r="L26" s="4">
        <f>IF(OR(L25="",Normy!$E$9=""),"",L25*Normy!$E$9)</f>
        <v/>
      </c>
      <c r="M26" s="4">
        <f>IF(OR(M25="",Normy!$E$9=""),"",M25*Normy!$E$9)</f>
        <v/>
      </c>
      <c r="N26" s="4">
        <f>IF(OR(N25="",Normy!$E$9=""),"",N25*Normy!$E$9)</f>
        <v/>
      </c>
      <c r="O26" s="4">
        <f>IF(OR(O25="",Normy!$E$9=""),"",O25*Normy!$E$9)</f>
        <v/>
      </c>
      <c r="P26" s="4">
        <f>IF(OR(P25="",Normy!$E$9=""),"",P25*Normy!$E$9)</f>
        <v/>
      </c>
      <c r="Q26" s="4">
        <f>IF(OR(Q25="",Normy!$E$9=""),"",Q25*Normy!$E$9)</f>
        <v/>
      </c>
      <c r="R26" s="4">
        <f>IF(OR(R25="",Normy!$E$9=""),"",R25*Normy!$E$9)</f>
        <v/>
      </c>
      <c r="S26" s="4">
        <f>IF(OR(S25="",Normy!$E$9=""),"",S25*Normy!$E$9)</f>
        <v/>
      </c>
      <c r="T26" s="4">
        <f>IF(OR(T25="",Normy!$E$9=""),"",T25*Normy!$E$9)</f>
        <v/>
      </c>
      <c r="U26" s="4">
        <f>IF(OR(U25="",Normy!$E$9=""),"",U25*Normy!$E$9)</f>
        <v/>
      </c>
      <c r="V26" s="4">
        <f>IF(OR(V25="",Normy!$E$9=""),"",V25*Normy!$E$9)</f>
        <v/>
      </c>
      <c r="W26" s="4">
        <f>IF(OR(W25="",Normy!$E$9=""),"",W25*Normy!$E$9)</f>
        <v/>
      </c>
      <c r="X26" s="4">
        <f>IF(OR(X25="",Normy!$E$9=""),"",X25*Normy!$E$9)</f>
        <v/>
      </c>
      <c r="Y26" s="4">
        <f>IF(OR(Y25="",Normy!$E$9=""),"",Y25*Normy!$E$9)</f>
        <v/>
      </c>
      <c r="Z26" s="4">
        <f>IF(OR(Z25="",Normy!$E$9=""),"",Z25*Normy!$E$9)</f>
        <v/>
      </c>
      <c r="AA26" s="4">
        <f>IF(OR(AA25="",Normy!$E$9=""),"",AA25*Normy!$E$9)</f>
        <v/>
      </c>
      <c r="AB26" s="4">
        <f>IF(OR(AB25="",Normy!$E$9=""),"",AB25*Normy!$E$9)</f>
        <v/>
      </c>
      <c r="AC26" s="4">
        <f>IF(OR(AC25="",Normy!$E$9=""),"",AC25*Normy!$E$9)</f>
        <v/>
      </c>
      <c r="AD26" s="4">
        <f>IF(OR(AD25="",Normy!$E$9=""),"",AD25*Normy!$E$9)</f>
        <v/>
      </c>
      <c r="AE26" s="4">
        <f>IF(OR(AE25="",Normy!$E$9=""),"",AE25*Normy!$E$9)</f>
        <v/>
      </c>
      <c r="AF26" s="4">
        <f>IF(OR(AF25="",Normy!$E$9=""),"",AF25*Normy!$E$9)</f>
        <v/>
      </c>
      <c r="AG26" s="4">
        <f>IF(OR(AG25="",Normy!$E$9=""),"",AG25*Normy!$E$9)</f>
        <v/>
      </c>
      <c r="AH26" s="4">
        <f>IF(OR(AH25="",Normy!$E$9=""),"",AH25*Normy!$E$9)</f>
        <v/>
      </c>
      <c r="AI26" s="4">
        <f>IF(OR(AI25="",Normy!$E$9=""),"",AI25*Normy!$E$9)</f>
        <v/>
      </c>
      <c r="AJ26" s="4">
        <f>IF(OR(AJ25="",Normy!$E$9=""),"",AJ25*Normy!$E$9)</f>
        <v/>
      </c>
      <c r="AK26" s="4">
        <f>IF(OR(AK25="",Normy!$E$9=""),"",AK25*Normy!$E$9)</f>
        <v/>
      </c>
      <c r="AL26" s="4">
        <f>IF(OR(AL25="",Normy!$E$9=""),"",AL25*Normy!$E$9)</f>
        <v/>
      </c>
      <c r="AM26" s="4">
        <f>IF(OR(AM25="",Normy!$E$9=""),"",AM25*Normy!$E$9)</f>
        <v/>
      </c>
      <c r="AN26" s="4">
        <f>IF(OR(AN25="",Normy!$E$9=""),"",AN25*Normy!$E$9)</f>
        <v/>
      </c>
      <c r="AO26" s="4">
        <f>IF(OR(AO25="",Normy!$E$9=""),"",AO25*Normy!$E$9)</f>
        <v/>
      </c>
      <c r="AP26" s="4">
        <f>IF(OR(AP25="",Normy!$E$9=""),"",AP25*Normy!$E$9)</f>
        <v/>
      </c>
      <c r="AQ26" s="4">
        <f>IF(OR(AQ25="",Normy!$E$9=""),"",AQ25*Normy!$E$9)</f>
        <v/>
      </c>
      <c r="AR26" s="4">
        <f>IF(OR(AR25="",Normy!$E$9=""),"",AR25*Normy!$E$9)</f>
        <v/>
      </c>
      <c r="AS26" s="4">
        <f>IF(OR(AS25="",Normy!$E$9=""),"",AS25*Normy!$E$9)</f>
        <v/>
      </c>
      <c r="AT26" s="4">
        <f>IF(OR(AT25="",Normy!$E$9=""),"",AT25*Normy!$E$9)</f>
        <v/>
      </c>
      <c r="AU26" s="4">
        <f>IF(OR(AU25="",Normy!$E$9=""),"",AU25*Normy!$E$9)</f>
        <v/>
      </c>
      <c r="AV26" s="4">
        <f>IF(OR(AV25="",Normy!$E$9=""),"",AV25*Normy!$E$9)</f>
        <v/>
      </c>
      <c r="AW26" s="4">
        <f>IF(OR(AW25="",Normy!$E$9=""),"",AW25*Normy!$E$9)</f>
        <v/>
      </c>
      <c r="AX26" s="4">
        <f>IF(OR(AX25="",Normy!$E$9=""),"",AX25*Normy!$E$9)</f>
        <v/>
      </c>
      <c r="AY26" s="4">
        <f>IF(OR(AY25="",Normy!$E$9=""),"",AY25*Normy!$E$9)</f>
        <v/>
      </c>
      <c r="AZ26" s="4">
        <f>IF(OR(AZ25="",Normy!$E$9=""),"",AZ25*Normy!$E$9)</f>
        <v/>
      </c>
      <c r="BA26" s="4">
        <f>IF(OR(BA25="",Normy!$E$9=""),"",BA25*Normy!$E$9)</f>
        <v/>
      </c>
      <c r="BB26" s="4">
        <f>IF(OR(BB25="",Normy!$E$9=""),"",BB25*Normy!$E$9)</f>
        <v/>
      </c>
      <c r="BC26" s="4">
        <f>IF(OR(BC25="",Normy!$E$9=""),"",BC25*Normy!$E$9)</f>
        <v/>
      </c>
      <c r="BD26" s="4">
        <f>IF(OR(BD25="",Normy!$E$9=""),"",BD25*Normy!$E$9)</f>
        <v/>
      </c>
      <c r="BE26" s="4">
        <f>IF(OR(BE25="",Normy!$E$9=""),"",BE25*Normy!$E$9)</f>
        <v/>
      </c>
      <c r="BF26" s="4">
        <f>IF(OR(BF25="",Normy!$E$9=""),"",BF25*Normy!$E$9)</f>
        <v/>
      </c>
      <c r="BG26" s="4">
        <f>IF(OR(BG25="",Normy!$E$9=""),"",BG25*Normy!$E$9)</f>
        <v/>
      </c>
      <c r="BH26" s="4">
        <f>IF(OR(BH25="",Normy!$E$9=""),"",BH25*Normy!$E$9)</f>
        <v/>
      </c>
      <c r="BI26" s="4">
        <f>IF(OR(BI25="",Normy!$E$9=""),"",BI25*Normy!$E$9)</f>
        <v/>
      </c>
      <c r="BJ26" s="4">
        <f>IF(OR(BJ25="",Normy!$E$9=""),"",BJ25*Normy!$E$9)</f>
        <v/>
      </c>
      <c r="BK26" s="4">
        <f>IF(OR(BK25="",Normy!$E$9=""),"",BK25*Normy!$E$9)</f>
        <v/>
      </c>
      <c r="BL26" s="4">
        <f>IF(OR(BL25="",Normy!$E$9=""),"",BL25*Normy!$E$9)</f>
        <v/>
      </c>
      <c r="BM26" s="4">
        <f>IF(OR(BM25="",Normy!$E$9=""),"",BM25*Normy!$E$9)</f>
        <v/>
      </c>
    </row>
    <row r="27">
      <c r="A27" s="19" t="n"/>
      <c r="B27" s="4" t="inlineStr">
        <is>
          <t>Potřeba FTE DL</t>
        </is>
      </c>
      <c r="C27" s="4">
        <f>IF(C26="","",ROUND(C26*Parametry!$B$6/(Parametry!$B$4*(1-Parametry!$B$5)),1))</f>
        <v/>
      </c>
      <c r="D27" s="4">
        <f>IF(D26="","",ROUND(D26*Parametry!$B$6/(Parametry!$B$4*(1-Parametry!$B$5)),1))</f>
        <v/>
      </c>
      <c r="E27" s="4">
        <f>IF(E26="","",ROUND(E26*Parametry!$B$6/(Parametry!$B$4*(1-Parametry!$B$5)),1))</f>
        <v/>
      </c>
      <c r="F27" s="4">
        <f>IF(F26="","",ROUND(F26*Parametry!$B$6/(Parametry!$B$4*(1-Parametry!$B$5)),1))</f>
        <v/>
      </c>
      <c r="G27" s="4">
        <f>IF(G26="","",ROUND(G26*Parametry!$B$6/(Parametry!$B$4*(1-Parametry!$B$5)),1))</f>
        <v/>
      </c>
      <c r="H27" s="4">
        <f>IF(H26="","",ROUND(H26*Parametry!$B$6/(Parametry!$B$4*(1-Parametry!$B$5)),1))</f>
        <v/>
      </c>
      <c r="I27" s="4">
        <f>IF(I26="","",ROUND(I26*Parametry!$B$6/(Parametry!$B$4*(1-Parametry!$B$5)),1))</f>
        <v/>
      </c>
      <c r="J27" s="4">
        <f>IF(J26="","",ROUND(J26*Parametry!$B$6/(Parametry!$B$4*(1-Parametry!$B$5)),1))</f>
        <v/>
      </c>
      <c r="K27" s="4">
        <f>IF(K26="","",ROUND(K26*Parametry!$B$6/(Parametry!$B$4*(1-Parametry!$B$5)),1))</f>
        <v/>
      </c>
      <c r="L27" s="4">
        <f>IF(L26="","",ROUND(L26*Parametry!$B$6/(Parametry!$B$4*(1-Parametry!$B$5)),1))</f>
        <v/>
      </c>
      <c r="M27" s="4">
        <f>IF(M26="","",ROUND(M26*Parametry!$B$6/(Parametry!$B$4*(1-Parametry!$B$5)),1))</f>
        <v/>
      </c>
      <c r="N27" s="4">
        <f>IF(N26="","",ROUND(N26*Parametry!$B$6/(Parametry!$B$4*(1-Parametry!$B$5)),1))</f>
        <v/>
      </c>
      <c r="O27" s="4">
        <f>IF(O26="","",ROUND(O26*Parametry!$B$6/(Parametry!$B$4*(1-Parametry!$B$5)),1))</f>
        <v/>
      </c>
      <c r="P27" s="4">
        <f>IF(P26="","",ROUND(P26*Parametry!$B$6/(Parametry!$B$4*(1-Parametry!$B$5)),1))</f>
        <v/>
      </c>
      <c r="Q27" s="4">
        <f>IF(Q26="","",ROUND(Q26*Parametry!$B$6/(Parametry!$B$4*(1-Parametry!$B$5)),1))</f>
        <v/>
      </c>
      <c r="R27" s="4">
        <f>IF(R26="","",ROUND(R26*Parametry!$B$6/(Parametry!$B$4*(1-Parametry!$B$5)),1))</f>
        <v/>
      </c>
      <c r="S27" s="4">
        <f>IF(S26="","",ROUND(S26*Parametry!$B$6/(Parametry!$B$4*(1-Parametry!$B$5)),1))</f>
        <v/>
      </c>
      <c r="T27" s="4">
        <f>IF(T26="","",ROUND(T26*Parametry!$B$6/(Parametry!$B$4*(1-Parametry!$B$5)),1))</f>
        <v/>
      </c>
      <c r="U27" s="4">
        <f>IF(U26="","",ROUND(U26*Parametry!$B$6/(Parametry!$B$4*(1-Parametry!$B$5)),1))</f>
        <v/>
      </c>
      <c r="V27" s="4">
        <f>IF(V26="","",ROUND(V26*Parametry!$B$6/(Parametry!$B$4*(1-Parametry!$B$5)),1))</f>
        <v/>
      </c>
      <c r="W27" s="4">
        <f>IF(W26="","",ROUND(W26*Parametry!$B$6/(Parametry!$B$4*(1-Parametry!$B$5)),1))</f>
        <v/>
      </c>
      <c r="X27" s="4">
        <f>IF(X26="","",ROUND(X26*Parametry!$B$6/(Parametry!$B$4*(1-Parametry!$B$5)),1))</f>
        <v/>
      </c>
      <c r="Y27" s="4">
        <f>IF(Y26="","",ROUND(Y26*Parametry!$B$6/(Parametry!$B$4*(1-Parametry!$B$5)),1))</f>
        <v/>
      </c>
      <c r="Z27" s="4">
        <f>IF(Z26="","",ROUND(Z26*Parametry!$B$6/(Parametry!$B$4*(1-Parametry!$B$5)),1))</f>
        <v/>
      </c>
      <c r="AA27" s="4">
        <f>IF(AA26="","",ROUND(AA26*Parametry!$B$6/(Parametry!$B$4*(1-Parametry!$B$5)),1))</f>
        <v/>
      </c>
      <c r="AB27" s="4">
        <f>IF(AB26="","",ROUND(AB26*Parametry!$B$6/(Parametry!$B$4*(1-Parametry!$B$5)),1))</f>
        <v/>
      </c>
      <c r="AC27" s="4">
        <f>IF(AC26="","",ROUND(AC26*Parametry!$B$6/(Parametry!$B$4*(1-Parametry!$B$5)),1))</f>
        <v/>
      </c>
      <c r="AD27" s="4">
        <f>IF(AD26="","",ROUND(AD26*Parametry!$B$6/(Parametry!$B$4*(1-Parametry!$B$5)),1))</f>
        <v/>
      </c>
      <c r="AE27" s="4">
        <f>IF(AE26="","",ROUND(AE26*Parametry!$B$6/(Parametry!$B$4*(1-Parametry!$B$5)),1))</f>
        <v/>
      </c>
      <c r="AF27" s="4">
        <f>IF(AF26="","",ROUND(AF26*Parametry!$B$6/(Parametry!$B$4*(1-Parametry!$B$5)),1))</f>
        <v/>
      </c>
      <c r="AG27" s="4">
        <f>IF(AG26="","",ROUND(AG26*Parametry!$B$6/(Parametry!$B$4*(1-Parametry!$B$5)),1))</f>
        <v/>
      </c>
      <c r="AH27" s="4">
        <f>IF(AH26="","",ROUND(AH26*Parametry!$B$6/(Parametry!$B$4*(1-Parametry!$B$5)),1))</f>
        <v/>
      </c>
      <c r="AI27" s="4">
        <f>IF(AI26="","",ROUND(AI26*Parametry!$B$6/(Parametry!$B$4*(1-Parametry!$B$5)),1))</f>
        <v/>
      </c>
      <c r="AJ27" s="4">
        <f>IF(AJ26="","",ROUND(AJ26*Parametry!$B$6/(Parametry!$B$4*(1-Parametry!$B$5)),1))</f>
        <v/>
      </c>
      <c r="AK27" s="4">
        <f>IF(AK26="","",ROUND(AK26*Parametry!$B$6/(Parametry!$B$4*(1-Parametry!$B$5)),1))</f>
        <v/>
      </c>
      <c r="AL27" s="4">
        <f>IF(AL26="","",ROUND(AL26*Parametry!$B$6/(Parametry!$B$4*(1-Parametry!$B$5)),1))</f>
        <v/>
      </c>
      <c r="AM27" s="4">
        <f>IF(AM26="","",ROUND(AM26*Parametry!$B$6/(Parametry!$B$4*(1-Parametry!$B$5)),1))</f>
        <v/>
      </c>
      <c r="AN27" s="4">
        <f>IF(AN26="","",ROUND(AN26*Parametry!$B$6/(Parametry!$B$4*(1-Parametry!$B$5)),1))</f>
        <v/>
      </c>
      <c r="AO27" s="4">
        <f>IF(AO26="","",ROUND(AO26*Parametry!$B$6/(Parametry!$B$4*(1-Parametry!$B$5)),1))</f>
        <v/>
      </c>
      <c r="AP27" s="4">
        <f>IF(AP26="","",ROUND(AP26*Parametry!$B$6/(Parametry!$B$4*(1-Parametry!$B$5)),1))</f>
        <v/>
      </c>
      <c r="AQ27" s="4">
        <f>IF(AQ26="","",ROUND(AQ26*Parametry!$B$6/(Parametry!$B$4*(1-Parametry!$B$5)),1))</f>
        <v/>
      </c>
      <c r="AR27" s="4">
        <f>IF(AR26="","",ROUND(AR26*Parametry!$B$6/(Parametry!$B$4*(1-Parametry!$B$5)),1))</f>
        <v/>
      </c>
      <c r="AS27" s="4">
        <f>IF(AS26="","",ROUND(AS26*Parametry!$B$6/(Parametry!$B$4*(1-Parametry!$B$5)),1))</f>
        <v/>
      </c>
      <c r="AT27" s="4">
        <f>IF(AT26="","",ROUND(AT26*Parametry!$B$6/(Parametry!$B$4*(1-Parametry!$B$5)),1))</f>
        <v/>
      </c>
      <c r="AU27" s="4">
        <f>IF(AU26="","",ROUND(AU26*Parametry!$B$6/(Parametry!$B$4*(1-Parametry!$B$5)),1))</f>
        <v/>
      </c>
      <c r="AV27" s="4">
        <f>IF(AV26="","",ROUND(AV26*Parametry!$B$6/(Parametry!$B$4*(1-Parametry!$B$5)),1))</f>
        <v/>
      </c>
      <c r="AW27" s="4">
        <f>IF(AW26="","",ROUND(AW26*Parametry!$B$6/(Parametry!$B$4*(1-Parametry!$B$5)),1))</f>
        <v/>
      </c>
      <c r="AX27" s="4">
        <f>IF(AX26="","",ROUND(AX26*Parametry!$B$6/(Parametry!$B$4*(1-Parametry!$B$5)),1))</f>
        <v/>
      </c>
      <c r="AY27" s="4">
        <f>IF(AY26="","",ROUND(AY26*Parametry!$B$6/(Parametry!$B$4*(1-Parametry!$B$5)),1))</f>
        <v/>
      </c>
      <c r="AZ27" s="4">
        <f>IF(AZ26="","",ROUND(AZ26*Parametry!$B$6/(Parametry!$B$4*(1-Parametry!$B$5)),1))</f>
        <v/>
      </c>
      <c r="BA27" s="4">
        <f>IF(BA26="","",ROUND(BA26*Parametry!$B$6/(Parametry!$B$4*(1-Parametry!$B$5)),1))</f>
        <v/>
      </c>
      <c r="BB27" s="4">
        <f>IF(BB26="","",ROUND(BB26*Parametry!$B$6/(Parametry!$B$4*(1-Parametry!$B$5)),1))</f>
        <v/>
      </c>
      <c r="BC27" s="4">
        <f>IF(BC26="","",ROUND(BC26*Parametry!$B$6/(Parametry!$B$4*(1-Parametry!$B$5)),1))</f>
        <v/>
      </c>
      <c r="BD27" s="4">
        <f>IF(BD26="","",ROUND(BD26*Parametry!$B$6/(Parametry!$B$4*(1-Parametry!$B$5)),1))</f>
        <v/>
      </c>
      <c r="BE27" s="4">
        <f>IF(BE26="","",ROUND(BE26*Parametry!$B$6/(Parametry!$B$4*(1-Parametry!$B$5)),1))</f>
        <v/>
      </c>
      <c r="BF27" s="4">
        <f>IF(BF26="","",ROUND(BF26*Parametry!$B$6/(Parametry!$B$4*(1-Parametry!$B$5)),1))</f>
        <v/>
      </c>
      <c r="BG27" s="4">
        <f>IF(BG26="","",ROUND(BG26*Parametry!$B$6/(Parametry!$B$4*(1-Parametry!$B$5)),1))</f>
        <v/>
      </c>
      <c r="BH27" s="4">
        <f>IF(BH26="","",ROUND(BH26*Parametry!$B$6/(Parametry!$B$4*(1-Parametry!$B$5)),1))</f>
        <v/>
      </c>
      <c r="BI27" s="4">
        <f>IF(BI26="","",ROUND(BI26*Parametry!$B$6/(Parametry!$B$4*(1-Parametry!$B$5)),1))</f>
        <v/>
      </c>
      <c r="BJ27" s="4">
        <f>IF(BJ26="","",ROUND(BJ26*Parametry!$B$6/(Parametry!$B$4*(1-Parametry!$B$5)),1))</f>
        <v/>
      </c>
      <c r="BK27" s="4">
        <f>IF(BK26="","",ROUND(BK26*Parametry!$B$6/(Parametry!$B$4*(1-Parametry!$B$5)),1))</f>
        <v/>
      </c>
      <c r="BL27" s="4">
        <f>IF(BL26="","",ROUND(BL26*Parametry!$B$6/(Parametry!$B$4*(1-Parametry!$B$5)),1))</f>
        <v/>
      </c>
      <c r="BM27" s="4">
        <f>IF(BM26="","",ROUND(BM26*Parametry!$B$6/(Parametry!$B$4*(1-Parametry!$B$5)),1))</f>
        <v/>
      </c>
    </row>
    <row r="28">
      <c r="A28" s="19" t="n"/>
      <c r="B28" s="4" t="inlineStr">
        <is>
          <t>Skutečnost FTE</t>
        </is>
      </c>
      <c r="C28" s="20">
        <f>IF(Normy!$G$9="","",ROUND(Normy!$G$9*5*Parametry!$B$6/(Parametry!$B$4*(1-Parametry!$B$5)),1))</f>
        <v/>
      </c>
      <c r="D28" s="20">
        <f>IF(Normy!$G$9="","",ROUND(Normy!$G$9*5*Parametry!$B$6/(Parametry!$B$4*(1-Parametry!$B$5)),1))</f>
        <v/>
      </c>
      <c r="E28" s="20">
        <f>IF(Normy!$G$9="","",ROUND(Normy!$G$9*5*Parametry!$B$6/(Parametry!$B$4*(1-Parametry!$B$5)),1))</f>
        <v/>
      </c>
      <c r="F28" s="20">
        <f>IF(Normy!$G$9="","",ROUND(Normy!$G$9*5*Parametry!$B$6/(Parametry!$B$4*(1-Parametry!$B$5)),1))</f>
        <v/>
      </c>
      <c r="G28" s="20">
        <f>IF(Normy!$G$9="","",ROUND(Normy!$G$9*5*Parametry!$B$6/(Parametry!$B$4*(1-Parametry!$B$5)),1))</f>
        <v/>
      </c>
      <c r="H28" s="20">
        <f>IF(Normy!$G$9="","",ROUND(Normy!$G$9*5*Parametry!$B$6/(Parametry!$B$4*(1-Parametry!$B$5)),1))</f>
        <v/>
      </c>
      <c r="I28" s="20">
        <f>IF(Normy!$G$9="","",ROUND(Normy!$G$9*5*Parametry!$B$6/(Parametry!$B$4*(1-Parametry!$B$5)),1))</f>
        <v/>
      </c>
      <c r="J28" s="20">
        <f>IF(Normy!$G$9="","",ROUND(Normy!$G$9*5*Parametry!$B$6/(Parametry!$B$4*(1-Parametry!$B$5)),1))</f>
        <v/>
      </c>
      <c r="K28" s="20">
        <f>IF(Normy!$G$9="","",ROUND(Normy!$G$9*5*Parametry!$B$6/(Parametry!$B$4*(1-Parametry!$B$5)),1))</f>
        <v/>
      </c>
      <c r="L28" s="20">
        <f>IF(Normy!$G$9="","",ROUND(Normy!$G$9*5*Parametry!$B$6/(Parametry!$B$4*(1-Parametry!$B$5)),1))</f>
        <v/>
      </c>
      <c r="M28" s="20">
        <f>IF(Normy!$G$9="","",ROUND(Normy!$G$9*5*Parametry!$B$6/(Parametry!$B$4*(1-Parametry!$B$5)),1))</f>
        <v/>
      </c>
      <c r="N28" s="20">
        <f>IF(Normy!$G$9="","",ROUND(Normy!$G$9*5*Parametry!$B$6/(Parametry!$B$4*(1-Parametry!$B$5)),1))</f>
        <v/>
      </c>
      <c r="O28" s="20">
        <f>IF(Normy!$G$9="","",ROUND(Normy!$G$9*5*Parametry!$B$6/(Parametry!$B$4*(1-Parametry!$B$5)),1))</f>
        <v/>
      </c>
      <c r="P28" s="20">
        <f>IF(Normy!$G$9="","",ROUND(Normy!$G$9*5*Parametry!$B$6/(Parametry!$B$4*(1-Parametry!$B$5)),1))</f>
        <v/>
      </c>
      <c r="Q28" s="20">
        <f>IF(Normy!$G$9="","",ROUND(Normy!$G$9*5*Parametry!$B$6/(Parametry!$B$4*(1-Parametry!$B$5)),1))</f>
        <v/>
      </c>
      <c r="R28" s="20">
        <f>IF(Normy!$G$9="","",ROUND(Normy!$G$9*5*Parametry!$B$6/(Parametry!$B$4*(1-Parametry!$B$5)),1))</f>
        <v/>
      </c>
      <c r="S28" s="20">
        <f>IF(Normy!$G$9="","",ROUND(Normy!$G$9*5*Parametry!$B$6/(Parametry!$B$4*(1-Parametry!$B$5)),1))</f>
        <v/>
      </c>
      <c r="T28" s="20">
        <f>IF(Normy!$G$9="","",ROUND(Normy!$G$9*5*Parametry!$B$6/(Parametry!$B$4*(1-Parametry!$B$5)),1))</f>
        <v/>
      </c>
      <c r="U28" s="20">
        <f>IF(Normy!$G$9="","",ROUND(Normy!$G$9*5*Parametry!$B$6/(Parametry!$B$4*(1-Parametry!$B$5)),1))</f>
        <v/>
      </c>
      <c r="V28" s="20">
        <f>IF(Normy!$G$9="","",ROUND(Normy!$G$9*5*Parametry!$B$6/(Parametry!$B$4*(1-Parametry!$B$5)),1))</f>
        <v/>
      </c>
      <c r="W28" s="20">
        <f>IF(Normy!$G$9="","",ROUND(Normy!$G$9*5*Parametry!$B$6/(Parametry!$B$4*(1-Parametry!$B$5)),1))</f>
        <v/>
      </c>
      <c r="X28" s="20">
        <f>IF(Normy!$G$9="","",ROUND(Normy!$G$9*5*Parametry!$B$6/(Parametry!$B$4*(1-Parametry!$B$5)),1))</f>
        <v/>
      </c>
      <c r="Y28" s="20">
        <f>IF(Normy!$G$9="","",ROUND(Normy!$G$9*5*Parametry!$B$6/(Parametry!$B$4*(1-Parametry!$B$5)),1))</f>
        <v/>
      </c>
      <c r="Z28" s="20">
        <f>IF(Normy!$G$9="","",ROUND(Normy!$G$9*5*Parametry!$B$6/(Parametry!$B$4*(1-Parametry!$B$5)),1))</f>
        <v/>
      </c>
      <c r="AA28" s="20">
        <f>IF(Normy!$G$9="","",ROUND(Normy!$G$9*5*Parametry!$B$6/(Parametry!$B$4*(1-Parametry!$B$5)),1))</f>
        <v/>
      </c>
      <c r="AB28" s="20">
        <f>IF(Normy!$G$9="","",ROUND(Normy!$G$9*5*Parametry!$B$6/(Parametry!$B$4*(1-Parametry!$B$5)),1))</f>
        <v/>
      </c>
      <c r="AC28" s="20">
        <f>IF(Normy!$G$9="","",ROUND(Normy!$G$9*5*Parametry!$B$6/(Parametry!$B$4*(1-Parametry!$B$5)),1))</f>
        <v/>
      </c>
      <c r="AD28" s="20">
        <f>IF(Normy!$G$9="","",ROUND(Normy!$G$9*5*Parametry!$B$6/(Parametry!$B$4*(1-Parametry!$B$5)),1))</f>
        <v/>
      </c>
      <c r="AE28" s="20">
        <f>IF(Normy!$G$9="","",ROUND(Normy!$G$9*5*Parametry!$B$6/(Parametry!$B$4*(1-Parametry!$B$5)),1))</f>
        <v/>
      </c>
      <c r="AF28" s="20">
        <f>IF(Normy!$G$9="","",ROUND(Normy!$G$9*5*Parametry!$B$6/(Parametry!$B$4*(1-Parametry!$B$5)),1))</f>
        <v/>
      </c>
      <c r="AG28" s="20">
        <f>IF(Normy!$G$9="","",ROUND(Normy!$G$9*5*Parametry!$B$6/(Parametry!$B$4*(1-Parametry!$B$5)),1))</f>
        <v/>
      </c>
      <c r="AH28" s="20">
        <f>IF(Normy!$G$9="","",ROUND(Normy!$G$9*5*Parametry!$B$6/(Parametry!$B$4*(1-Parametry!$B$5)),1))</f>
        <v/>
      </c>
      <c r="AI28" s="20">
        <f>IF(Normy!$G$9="","",ROUND(Normy!$G$9*5*Parametry!$B$6/(Parametry!$B$4*(1-Parametry!$B$5)),1))</f>
        <v/>
      </c>
      <c r="AJ28" s="20">
        <f>IF(Normy!$G$9="","",ROUND(Normy!$G$9*5*Parametry!$B$6/(Parametry!$B$4*(1-Parametry!$B$5)),1))</f>
        <v/>
      </c>
      <c r="AK28" s="20">
        <f>IF(Normy!$G$9="","",ROUND(Normy!$G$9*5*Parametry!$B$6/(Parametry!$B$4*(1-Parametry!$B$5)),1))</f>
        <v/>
      </c>
      <c r="AL28" s="20">
        <f>IF(Normy!$G$9="","",ROUND(Normy!$G$9*5*Parametry!$B$6/(Parametry!$B$4*(1-Parametry!$B$5)),1))</f>
        <v/>
      </c>
      <c r="AM28" s="20">
        <f>IF(Normy!$G$9="","",ROUND(Normy!$G$9*5*Parametry!$B$6/(Parametry!$B$4*(1-Parametry!$B$5)),1))</f>
        <v/>
      </c>
      <c r="AN28" s="20">
        <f>IF(Normy!$G$9="","",ROUND(Normy!$G$9*5*Parametry!$B$6/(Parametry!$B$4*(1-Parametry!$B$5)),1))</f>
        <v/>
      </c>
      <c r="AO28" s="20">
        <f>IF(Normy!$G$9="","",ROUND(Normy!$G$9*5*Parametry!$B$6/(Parametry!$B$4*(1-Parametry!$B$5)),1))</f>
        <v/>
      </c>
      <c r="AP28" s="20">
        <f>IF(Normy!$G$9="","",ROUND(Normy!$G$9*5*Parametry!$B$6/(Parametry!$B$4*(1-Parametry!$B$5)),1))</f>
        <v/>
      </c>
      <c r="AQ28" s="20">
        <f>IF(Normy!$G$9="","",ROUND(Normy!$G$9*5*Parametry!$B$6/(Parametry!$B$4*(1-Parametry!$B$5)),1))</f>
        <v/>
      </c>
      <c r="AR28" s="20">
        <f>IF(Normy!$G$9="","",ROUND(Normy!$G$9*5*Parametry!$B$6/(Parametry!$B$4*(1-Parametry!$B$5)),1))</f>
        <v/>
      </c>
      <c r="AS28" s="20">
        <f>IF(Normy!$G$9="","",ROUND(Normy!$G$9*5*Parametry!$B$6/(Parametry!$B$4*(1-Parametry!$B$5)),1))</f>
        <v/>
      </c>
      <c r="AT28" s="20">
        <f>IF(Normy!$G$9="","",ROUND(Normy!$G$9*5*Parametry!$B$6/(Parametry!$B$4*(1-Parametry!$B$5)),1))</f>
        <v/>
      </c>
      <c r="AU28" s="20">
        <f>IF(Normy!$G$9="","",ROUND(Normy!$G$9*5*Parametry!$B$6/(Parametry!$B$4*(1-Parametry!$B$5)),1))</f>
        <v/>
      </c>
      <c r="AV28" s="20">
        <f>IF(Normy!$G$9="","",ROUND(Normy!$G$9*5*Parametry!$B$6/(Parametry!$B$4*(1-Parametry!$B$5)),1))</f>
        <v/>
      </c>
      <c r="AW28" s="20">
        <f>IF(Normy!$G$9="","",ROUND(Normy!$G$9*5*Parametry!$B$6/(Parametry!$B$4*(1-Parametry!$B$5)),1))</f>
        <v/>
      </c>
      <c r="AX28" s="20">
        <f>IF(Normy!$G$9="","",ROUND(Normy!$G$9*5*Parametry!$B$6/(Parametry!$B$4*(1-Parametry!$B$5)),1))</f>
        <v/>
      </c>
      <c r="AY28" s="20">
        <f>IF(Normy!$G$9="","",ROUND(Normy!$G$9*5*Parametry!$B$6/(Parametry!$B$4*(1-Parametry!$B$5)),1))</f>
        <v/>
      </c>
      <c r="AZ28" s="20">
        <f>IF(Normy!$G$9="","",ROUND(Normy!$G$9*5*Parametry!$B$6/(Parametry!$B$4*(1-Parametry!$B$5)),1))</f>
        <v/>
      </c>
      <c r="BA28" s="20">
        <f>IF(Normy!$G$9="","",ROUND(Normy!$G$9*5*Parametry!$B$6/(Parametry!$B$4*(1-Parametry!$B$5)),1))</f>
        <v/>
      </c>
      <c r="BB28" s="20">
        <f>IF(Normy!$G$9="","",ROUND(Normy!$G$9*5*Parametry!$B$6/(Parametry!$B$4*(1-Parametry!$B$5)),1))</f>
        <v/>
      </c>
      <c r="BC28" s="20">
        <f>IF(Normy!$G$9="","",ROUND(Normy!$G$9*5*Parametry!$B$6/(Parametry!$B$4*(1-Parametry!$B$5)),1))</f>
        <v/>
      </c>
      <c r="BD28" s="20">
        <f>IF(Normy!$G$9="","",ROUND(Normy!$G$9*5*Parametry!$B$6/(Parametry!$B$4*(1-Parametry!$B$5)),1))</f>
        <v/>
      </c>
      <c r="BE28" s="20">
        <f>IF(Normy!$G$9="","",ROUND(Normy!$G$9*5*Parametry!$B$6/(Parametry!$B$4*(1-Parametry!$B$5)),1))</f>
        <v/>
      </c>
      <c r="BF28" s="20">
        <f>IF(Normy!$G$9="","",ROUND(Normy!$G$9*5*Parametry!$B$6/(Parametry!$B$4*(1-Parametry!$B$5)),1))</f>
        <v/>
      </c>
      <c r="BG28" s="20">
        <f>IF(Normy!$G$9="","",ROUND(Normy!$G$9*5*Parametry!$B$6/(Parametry!$B$4*(1-Parametry!$B$5)),1))</f>
        <v/>
      </c>
      <c r="BH28" s="20">
        <f>IF(Normy!$G$9="","",ROUND(Normy!$G$9*5*Parametry!$B$6/(Parametry!$B$4*(1-Parametry!$B$5)),1))</f>
        <v/>
      </c>
      <c r="BI28" s="20">
        <f>IF(Normy!$G$9="","",ROUND(Normy!$G$9*5*Parametry!$B$6/(Parametry!$B$4*(1-Parametry!$B$5)),1))</f>
        <v/>
      </c>
      <c r="BJ28" s="20">
        <f>IF(Normy!$G$9="","",ROUND(Normy!$G$9*5*Parametry!$B$6/(Parametry!$B$4*(1-Parametry!$B$5)),1))</f>
        <v/>
      </c>
      <c r="BK28" s="20">
        <f>IF(Normy!$G$9="","",ROUND(Normy!$G$9*5*Parametry!$B$6/(Parametry!$B$4*(1-Parametry!$B$5)),1))</f>
        <v/>
      </c>
      <c r="BL28" s="20">
        <f>IF(Normy!$G$9="","",ROUND(Normy!$G$9*5*Parametry!$B$6/(Parametry!$B$4*(1-Parametry!$B$5)),1))</f>
        <v/>
      </c>
      <c r="BM28" s="20">
        <f>IF(Normy!$G$9="","",ROUND(Normy!$G$9*5*Parametry!$B$6/(Parametry!$B$4*(1-Parametry!$B$5)),1))</f>
        <v/>
      </c>
    </row>
    <row r="29">
      <c r="A29" s="19" t="n"/>
      <c r="B29" s="4" t="inlineStr">
        <is>
          <t>Gap FTE (skut. − potřeba)</t>
        </is>
      </c>
      <c r="C29" s="20">
        <f>IF(OR(C28="",C27=""),"",C28-C27)</f>
        <v/>
      </c>
      <c r="D29" s="20">
        <f>IF(OR(D28="",D27=""),"",D28-D27)</f>
        <v/>
      </c>
      <c r="E29" s="20">
        <f>IF(OR(E28="",E27=""),"",E28-E27)</f>
        <v/>
      </c>
      <c r="F29" s="20">
        <f>IF(OR(F28="",F27=""),"",F28-F27)</f>
        <v/>
      </c>
      <c r="G29" s="20">
        <f>IF(OR(G28="",G27=""),"",G28-G27)</f>
        <v/>
      </c>
      <c r="H29" s="20">
        <f>IF(OR(H28="",H27=""),"",H28-H27)</f>
        <v/>
      </c>
      <c r="I29" s="20">
        <f>IF(OR(I28="",I27=""),"",I28-I27)</f>
        <v/>
      </c>
      <c r="J29" s="20">
        <f>IF(OR(J28="",J27=""),"",J28-J27)</f>
        <v/>
      </c>
      <c r="K29" s="20">
        <f>IF(OR(K28="",K27=""),"",K28-K27)</f>
        <v/>
      </c>
      <c r="L29" s="20">
        <f>IF(OR(L28="",L27=""),"",L28-L27)</f>
        <v/>
      </c>
      <c r="M29" s="20">
        <f>IF(OR(M28="",M27=""),"",M28-M27)</f>
        <v/>
      </c>
      <c r="N29" s="20">
        <f>IF(OR(N28="",N27=""),"",N28-N27)</f>
        <v/>
      </c>
      <c r="O29" s="20">
        <f>IF(OR(O28="",O27=""),"",O28-O27)</f>
        <v/>
      </c>
      <c r="P29" s="20">
        <f>IF(OR(P28="",P27=""),"",P28-P27)</f>
        <v/>
      </c>
      <c r="Q29" s="20">
        <f>IF(OR(Q28="",Q27=""),"",Q28-Q27)</f>
        <v/>
      </c>
      <c r="R29" s="20">
        <f>IF(OR(R28="",R27=""),"",R28-R27)</f>
        <v/>
      </c>
      <c r="S29" s="20">
        <f>IF(OR(S28="",S27=""),"",S28-S27)</f>
        <v/>
      </c>
      <c r="T29" s="20">
        <f>IF(OR(T28="",T27=""),"",T28-T27)</f>
        <v/>
      </c>
      <c r="U29" s="20">
        <f>IF(OR(U28="",U27=""),"",U28-U27)</f>
        <v/>
      </c>
      <c r="V29" s="20">
        <f>IF(OR(V28="",V27=""),"",V28-V27)</f>
        <v/>
      </c>
      <c r="W29" s="20">
        <f>IF(OR(W28="",W27=""),"",W28-W27)</f>
        <v/>
      </c>
      <c r="X29" s="20">
        <f>IF(OR(X28="",X27=""),"",X28-X27)</f>
        <v/>
      </c>
      <c r="Y29" s="20">
        <f>IF(OR(Y28="",Y27=""),"",Y28-Y27)</f>
        <v/>
      </c>
      <c r="Z29" s="20">
        <f>IF(OR(Z28="",Z27=""),"",Z28-Z27)</f>
        <v/>
      </c>
      <c r="AA29" s="20">
        <f>IF(OR(AA28="",AA27=""),"",AA28-AA27)</f>
        <v/>
      </c>
      <c r="AB29" s="20">
        <f>IF(OR(AB28="",AB27=""),"",AB28-AB27)</f>
        <v/>
      </c>
      <c r="AC29" s="20">
        <f>IF(OR(AC28="",AC27=""),"",AC28-AC27)</f>
        <v/>
      </c>
      <c r="AD29" s="20">
        <f>IF(OR(AD28="",AD27=""),"",AD28-AD27)</f>
        <v/>
      </c>
      <c r="AE29" s="20">
        <f>IF(OR(AE28="",AE27=""),"",AE28-AE27)</f>
        <v/>
      </c>
      <c r="AF29" s="20">
        <f>IF(OR(AF28="",AF27=""),"",AF28-AF27)</f>
        <v/>
      </c>
      <c r="AG29" s="20">
        <f>IF(OR(AG28="",AG27=""),"",AG28-AG27)</f>
        <v/>
      </c>
      <c r="AH29" s="20">
        <f>IF(OR(AH28="",AH27=""),"",AH28-AH27)</f>
        <v/>
      </c>
      <c r="AI29" s="20">
        <f>IF(OR(AI28="",AI27=""),"",AI28-AI27)</f>
        <v/>
      </c>
      <c r="AJ29" s="20">
        <f>IF(OR(AJ28="",AJ27=""),"",AJ28-AJ27)</f>
        <v/>
      </c>
      <c r="AK29" s="20">
        <f>IF(OR(AK28="",AK27=""),"",AK28-AK27)</f>
        <v/>
      </c>
      <c r="AL29" s="20">
        <f>IF(OR(AL28="",AL27=""),"",AL28-AL27)</f>
        <v/>
      </c>
      <c r="AM29" s="20">
        <f>IF(OR(AM28="",AM27=""),"",AM28-AM27)</f>
        <v/>
      </c>
      <c r="AN29" s="20">
        <f>IF(OR(AN28="",AN27=""),"",AN28-AN27)</f>
        <v/>
      </c>
      <c r="AO29" s="20">
        <f>IF(OR(AO28="",AO27=""),"",AO28-AO27)</f>
        <v/>
      </c>
      <c r="AP29" s="20">
        <f>IF(OR(AP28="",AP27=""),"",AP28-AP27)</f>
        <v/>
      </c>
      <c r="AQ29" s="20">
        <f>IF(OR(AQ28="",AQ27=""),"",AQ28-AQ27)</f>
        <v/>
      </c>
      <c r="AR29" s="20">
        <f>IF(OR(AR28="",AR27=""),"",AR28-AR27)</f>
        <v/>
      </c>
      <c r="AS29" s="20">
        <f>IF(OR(AS28="",AS27=""),"",AS28-AS27)</f>
        <v/>
      </c>
      <c r="AT29" s="20">
        <f>IF(OR(AT28="",AT27=""),"",AT28-AT27)</f>
        <v/>
      </c>
      <c r="AU29" s="20">
        <f>IF(OR(AU28="",AU27=""),"",AU28-AU27)</f>
        <v/>
      </c>
      <c r="AV29" s="20">
        <f>IF(OR(AV28="",AV27=""),"",AV28-AV27)</f>
        <v/>
      </c>
      <c r="AW29" s="20">
        <f>IF(OR(AW28="",AW27=""),"",AW28-AW27)</f>
        <v/>
      </c>
      <c r="AX29" s="20">
        <f>IF(OR(AX28="",AX27=""),"",AX28-AX27)</f>
        <v/>
      </c>
      <c r="AY29" s="20">
        <f>IF(OR(AY28="",AY27=""),"",AY28-AY27)</f>
        <v/>
      </c>
      <c r="AZ29" s="20">
        <f>IF(OR(AZ28="",AZ27=""),"",AZ28-AZ27)</f>
        <v/>
      </c>
      <c r="BA29" s="20">
        <f>IF(OR(BA28="",BA27=""),"",BA28-BA27)</f>
        <v/>
      </c>
      <c r="BB29" s="20">
        <f>IF(OR(BB28="",BB27=""),"",BB28-BB27)</f>
        <v/>
      </c>
      <c r="BC29" s="20">
        <f>IF(OR(BC28="",BC27=""),"",BC28-BC27)</f>
        <v/>
      </c>
      <c r="BD29" s="20">
        <f>IF(OR(BD28="",BD27=""),"",BD28-BD27)</f>
        <v/>
      </c>
      <c r="BE29" s="20">
        <f>IF(OR(BE28="",BE27=""),"",BE28-BE27)</f>
        <v/>
      </c>
      <c r="BF29" s="20">
        <f>IF(OR(BF28="",BF27=""),"",BF28-BF27)</f>
        <v/>
      </c>
      <c r="BG29" s="20">
        <f>IF(OR(BG28="",BG27=""),"",BG28-BG27)</f>
        <v/>
      </c>
      <c r="BH29" s="20">
        <f>IF(OR(BH28="",BH27=""),"",BH28-BH27)</f>
        <v/>
      </c>
      <c r="BI29" s="20">
        <f>IF(OR(BI28="",BI27=""),"",BI28-BI27)</f>
        <v/>
      </c>
      <c r="BJ29" s="20">
        <f>IF(OR(BJ28="",BJ27=""),"",BJ28-BJ27)</f>
        <v/>
      </c>
      <c r="BK29" s="20">
        <f>IF(OR(BK28="",BK27=""),"",BK28-BK27)</f>
        <v/>
      </c>
      <c r="BL29" s="20">
        <f>IF(OR(BL28="",BL27=""),"",BL28-BL27)</f>
        <v/>
      </c>
      <c r="BM29" s="20">
        <f>IF(OR(BM28="",BM27=""),"",BM28-BM27)</f>
        <v/>
      </c>
    </row>
    <row r="30">
      <c r="A30" s="18" t="inlineStr">
        <is>
          <t>SK336/W206</t>
        </is>
      </c>
      <c r="B30" s="4" t="inlineStr">
        <is>
          <t>Potřebné směny (8h)</t>
        </is>
      </c>
      <c r="C30" s="4">
        <f>IF(OR(Normy!$C$10="",'Volume po lince'!B9=0),"",ROUNDUP('Volume po lince'!B9/(Normy!$C$10*IF(Normy!$D$10="",Parametry!$B$7,Normy!$D$10)),0))</f>
        <v/>
      </c>
      <c r="D30" s="4">
        <f>IF(OR(Normy!$C$10="",'Volume po lince'!C9=0),"",ROUNDUP('Volume po lince'!C9/(Normy!$C$10*IF(Normy!$D$10="",Parametry!$B$7,Normy!$D$10)),0))</f>
        <v/>
      </c>
      <c r="E30" s="4">
        <f>IF(OR(Normy!$C$10="",'Volume po lince'!D9=0),"",ROUNDUP('Volume po lince'!D9/(Normy!$C$10*IF(Normy!$D$10="",Parametry!$B$7,Normy!$D$10)),0))</f>
        <v/>
      </c>
      <c r="F30" s="4">
        <f>IF(OR(Normy!$C$10="",'Volume po lince'!E9=0),"",ROUNDUP('Volume po lince'!E9/(Normy!$C$10*IF(Normy!$D$10="",Parametry!$B$7,Normy!$D$10)),0))</f>
        <v/>
      </c>
      <c r="G30" s="4">
        <f>IF(OR(Normy!$C$10="",'Volume po lince'!F9=0),"",ROUNDUP('Volume po lince'!F9/(Normy!$C$10*IF(Normy!$D$10="",Parametry!$B$7,Normy!$D$10)),0))</f>
        <v/>
      </c>
      <c r="H30" s="4">
        <f>IF(OR(Normy!$C$10="",'Volume po lince'!G9=0),"",ROUNDUP('Volume po lince'!G9/(Normy!$C$10*IF(Normy!$D$10="",Parametry!$B$7,Normy!$D$10)),0))</f>
        <v/>
      </c>
      <c r="I30" s="4">
        <f>IF(OR(Normy!$C$10="",'Volume po lince'!H9=0),"",ROUNDUP('Volume po lince'!H9/(Normy!$C$10*IF(Normy!$D$10="",Parametry!$B$7,Normy!$D$10)),0))</f>
        <v/>
      </c>
      <c r="J30" s="4">
        <f>IF(OR(Normy!$C$10="",'Volume po lince'!I9=0),"",ROUNDUP('Volume po lince'!I9/(Normy!$C$10*IF(Normy!$D$10="",Parametry!$B$7,Normy!$D$10)),0))</f>
        <v/>
      </c>
      <c r="K30" s="4">
        <f>IF(OR(Normy!$C$10="",'Volume po lince'!J9=0),"",ROUNDUP('Volume po lince'!J9/(Normy!$C$10*IF(Normy!$D$10="",Parametry!$B$7,Normy!$D$10)),0))</f>
        <v/>
      </c>
      <c r="L30" s="4">
        <f>IF(OR(Normy!$C$10="",'Volume po lince'!K9=0),"",ROUNDUP('Volume po lince'!K9/(Normy!$C$10*IF(Normy!$D$10="",Parametry!$B$7,Normy!$D$10)),0))</f>
        <v/>
      </c>
      <c r="M30" s="4">
        <f>IF(OR(Normy!$C$10="",'Volume po lince'!L9=0),"",ROUNDUP('Volume po lince'!L9/(Normy!$C$10*IF(Normy!$D$10="",Parametry!$B$7,Normy!$D$10)),0))</f>
        <v/>
      </c>
      <c r="N30" s="4">
        <f>IF(OR(Normy!$C$10="",'Volume po lince'!M9=0),"",ROUNDUP('Volume po lince'!M9/(Normy!$C$10*IF(Normy!$D$10="",Parametry!$B$7,Normy!$D$10)),0))</f>
        <v/>
      </c>
      <c r="O30" s="4">
        <f>IF(OR(Normy!$C$10="",'Volume po lince'!N9=0),"",ROUNDUP('Volume po lince'!N9/(Normy!$C$10*IF(Normy!$D$10="",Parametry!$B$7,Normy!$D$10)),0))</f>
        <v/>
      </c>
      <c r="P30" s="4">
        <f>IF(OR(Normy!$C$10="",'Volume po lince'!O9=0),"",ROUNDUP('Volume po lince'!O9/(Normy!$C$10*IF(Normy!$D$10="",Parametry!$B$7,Normy!$D$10)),0))</f>
        <v/>
      </c>
      <c r="Q30" s="4">
        <f>IF(OR(Normy!$C$10="",'Volume po lince'!P9=0),"",ROUNDUP('Volume po lince'!P9/(Normy!$C$10*IF(Normy!$D$10="",Parametry!$B$7,Normy!$D$10)),0))</f>
        <v/>
      </c>
      <c r="R30" s="4">
        <f>IF(OR(Normy!$C$10="",'Volume po lince'!Q9=0),"",ROUNDUP('Volume po lince'!Q9/(Normy!$C$10*IF(Normy!$D$10="",Parametry!$B$7,Normy!$D$10)),0))</f>
        <v/>
      </c>
      <c r="S30" s="4">
        <f>IF(OR(Normy!$C$10="",'Volume po lince'!R9=0),"",ROUNDUP('Volume po lince'!R9/(Normy!$C$10*IF(Normy!$D$10="",Parametry!$B$7,Normy!$D$10)),0))</f>
        <v/>
      </c>
      <c r="T30" s="4">
        <f>IF(OR(Normy!$C$10="",'Volume po lince'!S9=0),"",ROUNDUP('Volume po lince'!S9/(Normy!$C$10*IF(Normy!$D$10="",Parametry!$B$7,Normy!$D$10)),0))</f>
        <v/>
      </c>
      <c r="U30" s="4">
        <f>IF(OR(Normy!$C$10="",'Volume po lince'!T9=0),"",ROUNDUP('Volume po lince'!T9/(Normy!$C$10*IF(Normy!$D$10="",Parametry!$B$7,Normy!$D$10)),0))</f>
        <v/>
      </c>
      <c r="V30" s="4">
        <f>IF(OR(Normy!$C$10="",'Volume po lince'!U9=0),"",ROUNDUP('Volume po lince'!U9/(Normy!$C$10*IF(Normy!$D$10="",Parametry!$B$7,Normy!$D$10)),0))</f>
        <v/>
      </c>
      <c r="W30" s="4">
        <f>IF(OR(Normy!$C$10="",'Volume po lince'!V9=0),"",ROUNDUP('Volume po lince'!V9/(Normy!$C$10*IF(Normy!$D$10="",Parametry!$B$7,Normy!$D$10)),0))</f>
        <v/>
      </c>
      <c r="X30" s="4">
        <f>IF(OR(Normy!$C$10="",'Volume po lince'!W9=0),"",ROUNDUP('Volume po lince'!W9/(Normy!$C$10*IF(Normy!$D$10="",Parametry!$B$7,Normy!$D$10)),0))</f>
        <v/>
      </c>
      <c r="Y30" s="4">
        <f>IF(OR(Normy!$C$10="",'Volume po lince'!X9=0),"",ROUNDUP('Volume po lince'!X9/(Normy!$C$10*IF(Normy!$D$10="",Parametry!$B$7,Normy!$D$10)),0))</f>
        <v/>
      </c>
      <c r="Z30" s="4">
        <f>IF(OR(Normy!$C$10="",'Volume po lince'!Y9=0),"",ROUNDUP('Volume po lince'!Y9/(Normy!$C$10*IF(Normy!$D$10="",Parametry!$B$7,Normy!$D$10)),0))</f>
        <v/>
      </c>
      <c r="AA30" s="4">
        <f>IF(OR(Normy!$C$10="",'Volume po lince'!Z9=0),"",ROUNDUP('Volume po lince'!Z9/(Normy!$C$10*IF(Normy!$D$10="",Parametry!$B$7,Normy!$D$10)),0))</f>
        <v/>
      </c>
      <c r="AB30" s="4">
        <f>IF(OR(Normy!$C$10="",'Volume po lince'!AA9=0),"",ROUNDUP('Volume po lince'!AA9/(Normy!$C$10*IF(Normy!$D$10="",Parametry!$B$7,Normy!$D$10)),0))</f>
        <v/>
      </c>
      <c r="AC30" s="4">
        <f>IF(OR(Normy!$C$10="",'Volume po lince'!AB9=0),"",ROUNDUP('Volume po lince'!AB9/(Normy!$C$10*IF(Normy!$D$10="",Parametry!$B$7,Normy!$D$10)),0))</f>
        <v/>
      </c>
      <c r="AD30" s="4">
        <f>IF(OR(Normy!$C$10="",'Volume po lince'!AC9=0),"",ROUNDUP('Volume po lince'!AC9/(Normy!$C$10*IF(Normy!$D$10="",Parametry!$B$7,Normy!$D$10)),0))</f>
        <v/>
      </c>
      <c r="AE30" s="4">
        <f>IF(OR(Normy!$C$10="",'Volume po lince'!AD9=0),"",ROUNDUP('Volume po lince'!AD9/(Normy!$C$10*IF(Normy!$D$10="",Parametry!$B$7,Normy!$D$10)),0))</f>
        <v/>
      </c>
      <c r="AF30" s="4">
        <f>IF(OR(Normy!$C$10="",'Volume po lince'!AE9=0),"",ROUNDUP('Volume po lince'!AE9/(Normy!$C$10*IF(Normy!$D$10="",Parametry!$B$7,Normy!$D$10)),0))</f>
        <v/>
      </c>
      <c r="AG30" s="4">
        <f>IF(OR(Normy!$C$10="",'Volume po lince'!AF9=0),"",ROUNDUP('Volume po lince'!AF9/(Normy!$C$10*IF(Normy!$D$10="",Parametry!$B$7,Normy!$D$10)),0))</f>
        <v/>
      </c>
      <c r="AH30" s="4">
        <f>IF(OR(Normy!$C$10="",'Volume po lince'!AG9=0),"",ROUNDUP('Volume po lince'!AG9/(Normy!$C$10*IF(Normy!$D$10="",Parametry!$B$7,Normy!$D$10)),0))</f>
        <v/>
      </c>
      <c r="AI30" s="4">
        <f>IF(OR(Normy!$C$10="",'Volume po lince'!AH9=0),"",ROUNDUP('Volume po lince'!AH9/(Normy!$C$10*IF(Normy!$D$10="",Parametry!$B$7,Normy!$D$10)),0))</f>
        <v/>
      </c>
      <c r="AJ30" s="4">
        <f>IF(OR(Normy!$C$10="",'Volume po lince'!AI9=0),"",ROUNDUP('Volume po lince'!AI9/(Normy!$C$10*IF(Normy!$D$10="",Parametry!$B$7,Normy!$D$10)),0))</f>
        <v/>
      </c>
      <c r="AK30" s="4">
        <f>IF(OR(Normy!$C$10="",'Volume po lince'!AJ9=0),"",ROUNDUP('Volume po lince'!AJ9/(Normy!$C$10*IF(Normy!$D$10="",Parametry!$B$7,Normy!$D$10)),0))</f>
        <v/>
      </c>
      <c r="AL30" s="4">
        <f>IF(OR(Normy!$C$10="",'Volume po lince'!AK9=0),"",ROUNDUP('Volume po lince'!AK9/(Normy!$C$10*IF(Normy!$D$10="",Parametry!$B$7,Normy!$D$10)),0))</f>
        <v/>
      </c>
      <c r="AM30" s="4">
        <f>IF(OR(Normy!$C$10="",'Volume po lince'!AL9=0),"",ROUNDUP('Volume po lince'!AL9/(Normy!$C$10*IF(Normy!$D$10="",Parametry!$B$7,Normy!$D$10)),0))</f>
        <v/>
      </c>
      <c r="AN30" s="4">
        <f>IF(OR(Normy!$C$10="",'Volume po lince'!AM9=0),"",ROUNDUP('Volume po lince'!AM9/(Normy!$C$10*IF(Normy!$D$10="",Parametry!$B$7,Normy!$D$10)),0))</f>
        <v/>
      </c>
      <c r="AO30" s="4">
        <f>IF(OR(Normy!$C$10="",'Volume po lince'!AN9=0),"",ROUNDUP('Volume po lince'!AN9/(Normy!$C$10*IF(Normy!$D$10="",Parametry!$B$7,Normy!$D$10)),0))</f>
        <v/>
      </c>
      <c r="AP30" s="4">
        <f>IF(OR(Normy!$C$10="",'Volume po lince'!AO9=0),"",ROUNDUP('Volume po lince'!AO9/(Normy!$C$10*IF(Normy!$D$10="",Parametry!$B$7,Normy!$D$10)),0))</f>
        <v/>
      </c>
      <c r="AQ30" s="4">
        <f>IF(OR(Normy!$C$10="",'Volume po lince'!AP9=0),"",ROUNDUP('Volume po lince'!AP9/(Normy!$C$10*IF(Normy!$D$10="",Parametry!$B$7,Normy!$D$10)),0))</f>
        <v/>
      </c>
      <c r="AR30" s="4">
        <f>IF(OR(Normy!$C$10="",'Volume po lince'!AQ9=0),"",ROUNDUP('Volume po lince'!AQ9/(Normy!$C$10*IF(Normy!$D$10="",Parametry!$B$7,Normy!$D$10)),0))</f>
        <v/>
      </c>
      <c r="AS30" s="4">
        <f>IF(OR(Normy!$C$10="",'Volume po lince'!AR9=0),"",ROUNDUP('Volume po lince'!AR9/(Normy!$C$10*IF(Normy!$D$10="",Parametry!$B$7,Normy!$D$10)),0))</f>
        <v/>
      </c>
      <c r="AT30" s="4">
        <f>IF(OR(Normy!$C$10="",'Volume po lince'!AS9=0),"",ROUNDUP('Volume po lince'!AS9/(Normy!$C$10*IF(Normy!$D$10="",Parametry!$B$7,Normy!$D$10)),0))</f>
        <v/>
      </c>
      <c r="AU30" s="4">
        <f>IF(OR(Normy!$C$10="",'Volume po lince'!AT9=0),"",ROUNDUP('Volume po lince'!AT9/(Normy!$C$10*IF(Normy!$D$10="",Parametry!$B$7,Normy!$D$10)),0))</f>
        <v/>
      </c>
      <c r="AV30" s="4">
        <f>IF(OR(Normy!$C$10="",'Volume po lince'!AU9=0),"",ROUNDUP('Volume po lince'!AU9/(Normy!$C$10*IF(Normy!$D$10="",Parametry!$B$7,Normy!$D$10)),0))</f>
        <v/>
      </c>
      <c r="AW30" s="4">
        <f>IF(OR(Normy!$C$10="",'Volume po lince'!AV9=0),"",ROUNDUP('Volume po lince'!AV9/(Normy!$C$10*IF(Normy!$D$10="",Parametry!$B$7,Normy!$D$10)),0))</f>
        <v/>
      </c>
      <c r="AX30" s="4">
        <f>IF(OR(Normy!$C$10="",'Volume po lince'!AW9=0),"",ROUNDUP('Volume po lince'!AW9/(Normy!$C$10*IF(Normy!$D$10="",Parametry!$B$7,Normy!$D$10)),0))</f>
        <v/>
      </c>
      <c r="AY30" s="4">
        <f>IF(OR(Normy!$C$10="",'Volume po lince'!AX9=0),"",ROUNDUP('Volume po lince'!AX9/(Normy!$C$10*IF(Normy!$D$10="",Parametry!$B$7,Normy!$D$10)),0))</f>
        <v/>
      </c>
      <c r="AZ30" s="4">
        <f>IF(OR(Normy!$C$10="",'Volume po lince'!AY9=0),"",ROUNDUP('Volume po lince'!AY9/(Normy!$C$10*IF(Normy!$D$10="",Parametry!$B$7,Normy!$D$10)),0))</f>
        <v/>
      </c>
      <c r="BA30" s="4">
        <f>IF(OR(Normy!$C$10="",'Volume po lince'!AZ9=0),"",ROUNDUP('Volume po lince'!AZ9/(Normy!$C$10*IF(Normy!$D$10="",Parametry!$B$7,Normy!$D$10)),0))</f>
        <v/>
      </c>
      <c r="BB30" s="4">
        <f>IF(OR(Normy!$C$10="",'Volume po lince'!BA9=0),"",ROUNDUP('Volume po lince'!BA9/(Normy!$C$10*IF(Normy!$D$10="",Parametry!$B$7,Normy!$D$10)),0))</f>
        <v/>
      </c>
      <c r="BC30" s="4">
        <f>IF(OR(Normy!$C$10="",'Volume po lince'!BB9=0),"",ROUNDUP('Volume po lince'!BB9/(Normy!$C$10*IF(Normy!$D$10="",Parametry!$B$7,Normy!$D$10)),0))</f>
        <v/>
      </c>
      <c r="BD30" s="4">
        <f>IF(OR(Normy!$C$10="",'Volume po lince'!BC9=0),"",ROUNDUP('Volume po lince'!BC9/(Normy!$C$10*IF(Normy!$D$10="",Parametry!$B$7,Normy!$D$10)),0))</f>
        <v/>
      </c>
      <c r="BE30" s="4">
        <f>IF(OR(Normy!$C$10="",'Volume po lince'!BD9=0),"",ROUNDUP('Volume po lince'!BD9/(Normy!$C$10*IF(Normy!$D$10="",Parametry!$B$7,Normy!$D$10)),0))</f>
        <v/>
      </c>
      <c r="BF30" s="4">
        <f>IF(OR(Normy!$C$10="",'Volume po lince'!BE9=0),"",ROUNDUP('Volume po lince'!BE9/(Normy!$C$10*IF(Normy!$D$10="",Parametry!$B$7,Normy!$D$10)),0))</f>
        <v/>
      </c>
      <c r="BG30" s="4">
        <f>IF(OR(Normy!$C$10="",'Volume po lince'!BF9=0),"",ROUNDUP('Volume po lince'!BF9/(Normy!$C$10*IF(Normy!$D$10="",Parametry!$B$7,Normy!$D$10)),0))</f>
        <v/>
      </c>
      <c r="BH30" s="4">
        <f>IF(OR(Normy!$C$10="",'Volume po lince'!BG9=0),"",ROUNDUP('Volume po lince'!BG9/(Normy!$C$10*IF(Normy!$D$10="",Parametry!$B$7,Normy!$D$10)),0))</f>
        <v/>
      </c>
      <c r="BI30" s="4">
        <f>IF(OR(Normy!$C$10="",'Volume po lince'!BH9=0),"",ROUNDUP('Volume po lince'!BH9/(Normy!$C$10*IF(Normy!$D$10="",Parametry!$B$7,Normy!$D$10)),0))</f>
        <v/>
      </c>
      <c r="BJ30" s="4">
        <f>IF(OR(Normy!$C$10="",'Volume po lince'!BI9=0),"",ROUNDUP('Volume po lince'!BI9/(Normy!$C$10*IF(Normy!$D$10="",Parametry!$B$7,Normy!$D$10)),0))</f>
        <v/>
      </c>
      <c r="BK30" s="4">
        <f>IF(OR(Normy!$C$10="",'Volume po lince'!BJ9=0),"",ROUNDUP('Volume po lince'!BJ9/(Normy!$C$10*IF(Normy!$D$10="",Parametry!$B$7,Normy!$D$10)),0))</f>
        <v/>
      </c>
      <c r="BL30" s="4">
        <f>IF(OR(Normy!$C$10="",'Volume po lince'!BK9=0),"",ROUNDUP('Volume po lince'!BK9/(Normy!$C$10*IF(Normy!$D$10="",Parametry!$B$7,Normy!$D$10)),0))</f>
        <v/>
      </c>
      <c r="BM30" s="4">
        <f>IF(OR(Normy!$C$10="",'Volume po lince'!BL9=0),"",ROUNDUP('Volume po lince'!BL9/(Normy!$C$10*IF(Normy!$D$10="",Parametry!$B$7,Normy!$D$10)),0))</f>
        <v/>
      </c>
    </row>
    <row r="31">
      <c r="A31" s="19" t="n"/>
      <c r="B31" s="4" t="inlineStr">
        <is>
          <t>OP-směn</t>
        </is>
      </c>
      <c r="C31" s="4">
        <f>IF(OR(C30="",Normy!$E$10=""),"",C30*Normy!$E$10)</f>
        <v/>
      </c>
      <c r="D31" s="4">
        <f>IF(OR(D30="",Normy!$E$10=""),"",D30*Normy!$E$10)</f>
        <v/>
      </c>
      <c r="E31" s="4">
        <f>IF(OR(E30="",Normy!$E$10=""),"",E30*Normy!$E$10)</f>
        <v/>
      </c>
      <c r="F31" s="4">
        <f>IF(OR(F30="",Normy!$E$10=""),"",F30*Normy!$E$10)</f>
        <v/>
      </c>
      <c r="G31" s="4">
        <f>IF(OR(G30="",Normy!$E$10=""),"",G30*Normy!$E$10)</f>
        <v/>
      </c>
      <c r="H31" s="4">
        <f>IF(OR(H30="",Normy!$E$10=""),"",H30*Normy!$E$10)</f>
        <v/>
      </c>
      <c r="I31" s="4">
        <f>IF(OR(I30="",Normy!$E$10=""),"",I30*Normy!$E$10)</f>
        <v/>
      </c>
      <c r="J31" s="4">
        <f>IF(OR(J30="",Normy!$E$10=""),"",J30*Normy!$E$10)</f>
        <v/>
      </c>
      <c r="K31" s="4">
        <f>IF(OR(K30="",Normy!$E$10=""),"",K30*Normy!$E$10)</f>
        <v/>
      </c>
      <c r="L31" s="4">
        <f>IF(OR(L30="",Normy!$E$10=""),"",L30*Normy!$E$10)</f>
        <v/>
      </c>
      <c r="M31" s="4">
        <f>IF(OR(M30="",Normy!$E$10=""),"",M30*Normy!$E$10)</f>
        <v/>
      </c>
      <c r="N31" s="4">
        <f>IF(OR(N30="",Normy!$E$10=""),"",N30*Normy!$E$10)</f>
        <v/>
      </c>
      <c r="O31" s="4">
        <f>IF(OR(O30="",Normy!$E$10=""),"",O30*Normy!$E$10)</f>
        <v/>
      </c>
      <c r="P31" s="4">
        <f>IF(OR(P30="",Normy!$E$10=""),"",P30*Normy!$E$10)</f>
        <v/>
      </c>
      <c r="Q31" s="4">
        <f>IF(OR(Q30="",Normy!$E$10=""),"",Q30*Normy!$E$10)</f>
        <v/>
      </c>
      <c r="R31" s="4">
        <f>IF(OR(R30="",Normy!$E$10=""),"",R30*Normy!$E$10)</f>
        <v/>
      </c>
      <c r="S31" s="4">
        <f>IF(OR(S30="",Normy!$E$10=""),"",S30*Normy!$E$10)</f>
        <v/>
      </c>
      <c r="T31" s="4">
        <f>IF(OR(T30="",Normy!$E$10=""),"",T30*Normy!$E$10)</f>
        <v/>
      </c>
      <c r="U31" s="4">
        <f>IF(OR(U30="",Normy!$E$10=""),"",U30*Normy!$E$10)</f>
        <v/>
      </c>
      <c r="V31" s="4">
        <f>IF(OR(V30="",Normy!$E$10=""),"",V30*Normy!$E$10)</f>
        <v/>
      </c>
      <c r="W31" s="4">
        <f>IF(OR(W30="",Normy!$E$10=""),"",W30*Normy!$E$10)</f>
        <v/>
      </c>
      <c r="X31" s="4">
        <f>IF(OR(X30="",Normy!$E$10=""),"",X30*Normy!$E$10)</f>
        <v/>
      </c>
      <c r="Y31" s="4">
        <f>IF(OR(Y30="",Normy!$E$10=""),"",Y30*Normy!$E$10)</f>
        <v/>
      </c>
      <c r="Z31" s="4">
        <f>IF(OR(Z30="",Normy!$E$10=""),"",Z30*Normy!$E$10)</f>
        <v/>
      </c>
      <c r="AA31" s="4">
        <f>IF(OR(AA30="",Normy!$E$10=""),"",AA30*Normy!$E$10)</f>
        <v/>
      </c>
      <c r="AB31" s="4">
        <f>IF(OR(AB30="",Normy!$E$10=""),"",AB30*Normy!$E$10)</f>
        <v/>
      </c>
      <c r="AC31" s="4">
        <f>IF(OR(AC30="",Normy!$E$10=""),"",AC30*Normy!$E$10)</f>
        <v/>
      </c>
      <c r="AD31" s="4">
        <f>IF(OR(AD30="",Normy!$E$10=""),"",AD30*Normy!$E$10)</f>
        <v/>
      </c>
      <c r="AE31" s="4">
        <f>IF(OR(AE30="",Normy!$E$10=""),"",AE30*Normy!$E$10)</f>
        <v/>
      </c>
      <c r="AF31" s="4">
        <f>IF(OR(AF30="",Normy!$E$10=""),"",AF30*Normy!$E$10)</f>
        <v/>
      </c>
      <c r="AG31" s="4">
        <f>IF(OR(AG30="",Normy!$E$10=""),"",AG30*Normy!$E$10)</f>
        <v/>
      </c>
      <c r="AH31" s="4">
        <f>IF(OR(AH30="",Normy!$E$10=""),"",AH30*Normy!$E$10)</f>
        <v/>
      </c>
      <c r="AI31" s="4">
        <f>IF(OR(AI30="",Normy!$E$10=""),"",AI30*Normy!$E$10)</f>
        <v/>
      </c>
      <c r="AJ31" s="4">
        <f>IF(OR(AJ30="",Normy!$E$10=""),"",AJ30*Normy!$E$10)</f>
        <v/>
      </c>
      <c r="AK31" s="4">
        <f>IF(OR(AK30="",Normy!$E$10=""),"",AK30*Normy!$E$10)</f>
        <v/>
      </c>
      <c r="AL31" s="4">
        <f>IF(OR(AL30="",Normy!$E$10=""),"",AL30*Normy!$E$10)</f>
        <v/>
      </c>
      <c r="AM31" s="4">
        <f>IF(OR(AM30="",Normy!$E$10=""),"",AM30*Normy!$E$10)</f>
        <v/>
      </c>
      <c r="AN31" s="4">
        <f>IF(OR(AN30="",Normy!$E$10=""),"",AN30*Normy!$E$10)</f>
        <v/>
      </c>
      <c r="AO31" s="4">
        <f>IF(OR(AO30="",Normy!$E$10=""),"",AO30*Normy!$E$10)</f>
        <v/>
      </c>
      <c r="AP31" s="4">
        <f>IF(OR(AP30="",Normy!$E$10=""),"",AP30*Normy!$E$10)</f>
        <v/>
      </c>
      <c r="AQ31" s="4">
        <f>IF(OR(AQ30="",Normy!$E$10=""),"",AQ30*Normy!$E$10)</f>
        <v/>
      </c>
      <c r="AR31" s="4">
        <f>IF(OR(AR30="",Normy!$E$10=""),"",AR30*Normy!$E$10)</f>
        <v/>
      </c>
      <c r="AS31" s="4">
        <f>IF(OR(AS30="",Normy!$E$10=""),"",AS30*Normy!$E$10)</f>
        <v/>
      </c>
      <c r="AT31" s="4">
        <f>IF(OR(AT30="",Normy!$E$10=""),"",AT30*Normy!$E$10)</f>
        <v/>
      </c>
      <c r="AU31" s="4">
        <f>IF(OR(AU30="",Normy!$E$10=""),"",AU30*Normy!$E$10)</f>
        <v/>
      </c>
      <c r="AV31" s="4">
        <f>IF(OR(AV30="",Normy!$E$10=""),"",AV30*Normy!$E$10)</f>
        <v/>
      </c>
      <c r="AW31" s="4">
        <f>IF(OR(AW30="",Normy!$E$10=""),"",AW30*Normy!$E$10)</f>
        <v/>
      </c>
      <c r="AX31" s="4">
        <f>IF(OR(AX30="",Normy!$E$10=""),"",AX30*Normy!$E$10)</f>
        <v/>
      </c>
      <c r="AY31" s="4">
        <f>IF(OR(AY30="",Normy!$E$10=""),"",AY30*Normy!$E$10)</f>
        <v/>
      </c>
      <c r="AZ31" s="4">
        <f>IF(OR(AZ30="",Normy!$E$10=""),"",AZ30*Normy!$E$10)</f>
        <v/>
      </c>
      <c r="BA31" s="4">
        <f>IF(OR(BA30="",Normy!$E$10=""),"",BA30*Normy!$E$10)</f>
        <v/>
      </c>
      <c r="BB31" s="4">
        <f>IF(OR(BB30="",Normy!$E$10=""),"",BB30*Normy!$E$10)</f>
        <v/>
      </c>
      <c r="BC31" s="4">
        <f>IF(OR(BC30="",Normy!$E$10=""),"",BC30*Normy!$E$10)</f>
        <v/>
      </c>
      <c r="BD31" s="4">
        <f>IF(OR(BD30="",Normy!$E$10=""),"",BD30*Normy!$E$10)</f>
        <v/>
      </c>
      <c r="BE31" s="4">
        <f>IF(OR(BE30="",Normy!$E$10=""),"",BE30*Normy!$E$10)</f>
        <v/>
      </c>
      <c r="BF31" s="4">
        <f>IF(OR(BF30="",Normy!$E$10=""),"",BF30*Normy!$E$10)</f>
        <v/>
      </c>
      <c r="BG31" s="4">
        <f>IF(OR(BG30="",Normy!$E$10=""),"",BG30*Normy!$E$10)</f>
        <v/>
      </c>
      <c r="BH31" s="4">
        <f>IF(OR(BH30="",Normy!$E$10=""),"",BH30*Normy!$E$10)</f>
        <v/>
      </c>
      <c r="BI31" s="4">
        <f>IF(OR(BI30="",Normy!$E$10=""),"",BI30*Normy!$E$10)</f>
        <v/>
      </c>
      <c r="BJ31" s="4">
        <f>IF(OR(BJ30="",Normy!$E$10=""),"",BJ30*Normy!$E$10)</f>
        <v/>
      </c>
      <c r="BK31" s="4">
        <f>IF(OR(BK30="",Normy!$E$10=""),"",BK30*Normy!$E$10)</f>
        <v/>
      </c>
      <c r="BL31" s="4">
        <f>IF(OR(BL30="",Normy!$E$10=""),"",BL30*Normy!$E$10)</f>
        <v/>
      </c>
      <c r="BM31" s="4">
        <f>IF(OR(BM30="",Normy!$E$10=""),"",BM30*Normy!$E$10)</f>
        <v/>
      </c>
    </row>
    <row r="32">
      <c r="A32" s="19" t="n"/>
      <c r="B32" s="4" t="inlineStr">
        <is>
          <t>Potřeba FTE DL</t>
        </is>
      </c>
      <c r="C32" s="4">
        <f>IF(C31="","",ROUND(C31*Parametry!$B$6/(Parametry!$B$4*(1-Parametry!$B$5)),1))</f>
        <v/>
      </c>
      <c r="D32" s="4">
        <f>IF(D31="","",ROUND(D31*Parametry!$B$6/(Parametry!$B$4*(1-Parametry!$B$5)),1))</f>
        <v/>
      </c>
      <c r="E32" s="4">
        <f>IF(E31="","",ROUND(E31*Parametry!$B$6/(Parametry!$B$4*(1-Parametry!$B$5)),1))</f>
        <v/>
      </c>
      <c r="F32" s="4">
        <f>IF(F31="","",ROUND(F31*Parametry!$B$6/(Parametry!$B$4*(1-Parametry!$B$5)),1))</f>
        <v/>
      </c>
      <c r="G32" s="4">
        <f>IF(G31="","",ROUND(G31*Parametry!$B$6/(Parametry!$B$4*(1-Parametry!$B$5)),1))</f>
        <v/>
      </c>
      <c r="H32" s="4">
        <f>IF(H31="","",ROUND(H31*Parametry!$B$6/(Parametry!$B$4*(1-Parametry!$B$5)),1))</f>
        <v/>
      </c>
      <c r="I32" s="4">
        <f>IF(I31="","",ROUND(I31*Parametry!$B$6/(Parametry!$B$4*(1-Parametry!$B$5)),1))</f>
        <v/>
      </c>
      <c r="J32" s="4">
        <f>IF(J31="","",ROUND(J31*Parametry!$B$6/(Parametry!$B$4*(1-Parametry!$B$5)),1))</f>
        <v/>
      </c>
      <c r="K32" s="4">
        <f>IF(K31="","",ROUND(K31*Parametry!$B$6/(Parametry!$B$4*(1-Parametry!$B$5)),1))</f>
        <v/>
      </c>
      <c r="L32" s="4">
        <f>IF(L31="","",ROUND(L31*Parametry!$B$6/(Parametry!$B$4*(1-Parametry!$B$5)),1))</f>
        <v/>
      </c>
      <c r="M32" s="4">
        <f>IF(M31="","",ROUND(M31*Parametry!$B$6/(Parametry!$B$4*(1-Parametry!$B$5)),1))</f>
        <v/>
      </c>
      <c r="N32" s="4">
        <f>IF(N31="","",ROUND(N31*Parametry!$B$6/(Parametry!$B$4*(1-Parametry!$B$5)),1))</f>
        <v/>
      </c>
      <c r="O32" s="4">
        <f>IF(O31="","",ROUND(O31*Parametry!$B$6/(Parametry!$B$4*(1-Parametry!$B$5)),1))</f>
        <v/>
      </c>
      <c r="P32" s="4">
        <f>IF(P31="","",ROUND(P31*Parametry!$B$6/(Parametry!$B$4*(1-Parametry!$B$5)),1))</f>
        <v/>
      </c>
      <c r="Q32" s="4">
        <f>IF(Q31="","",ROUND(Q31*Parametry!$B$6/(Parametry!$B$4*(1-Parametry!$B$5)),1))</f>
        <v/>
      </c>
      <c r="R32" s="4">
        <f>IF(R31="","",ROUND(R31*Parametry!$B$6/(Parametry!$B$4*(1-Parametry!$B$5)),1))</f>
        <v/>
      </c>
      <c r="S32" s="4">
        <f>IF(S31="","",ROUND(S31*Parametry!$B$6/(Parametry!$B$4*(1-Parametry!$B$5)),1))</f>
        <v/>
      </c>
      <c r="T32" s="4">
        <f>IF(T31="","",ROUND(T31*Parametry!$B$6/(Parametry!$B$4*(1-Parametry!$B$5)),1))</f>
        <v/>
      </c>
      <c r="U32" s="4">
        <f>IF(U31="","",ROUND(U31*Parametry!$B$6/(Parametry!$B$4*(1-Parametry!$B$5)),1))</f>
        <v/>
      </c>
      <c r="V32" s="4">
        <f>IF(V31="","",ROUND(V31*Parametry!$B$6/(Parametry!$B$4*(1-Parametry!$B$5)),1))</f>
        <v/>
      </c>
      <c r="W32" s="4">
        <f>IF(W31="","",ROUND(W31*Parametry!$B$6/(Parametry!$B$4*(1-Parametry!$B$5)),1))</f>
        <v/>
      </c>
      <c r="X32" s="4">
        <f>IF(X31="","",ROUND(X31*Parametry!$B$6/(Parametry!$B$4*(1-Parametry!$B$5)),1))</f>
        <v/>
      </c>
      <c r="Y32" s="4">
        <f>IF(Y31="","",ROUND(Y31*Parametry!$B$6/(Parametry!$B$4*(1-Parametry!$B$5)),1))</f>
        <v/>
      </c>
      <c r="Z32" s="4">
        <f>IF(Z31="","",ROUND(Z31*Parametry!$B$6/(Parametry!$B$4*(1-Parametry!$B$5)),1))</f>
        <v/>
      </c>
      <c r="AA32" s="4">
        <f>IF(AA31="","",ROUND(AA31*Parametry!$B$6/(Parametry!$B$4*(1-Parametry!$B$5)),1))</f>
        <v/>
      </c>
      <c r="AB32" s="4">
        <f>IF(AB31="","",ROUND(AB31*Parametry!$B$6/(Parametry!$B$4*(1-Parametry!$B$5)),1))</f>
        <v/>
      </c>
      <c r="AC32" s="4">
        <f>IF(AC31="","",ROUND(AC31*Parametry!$B$6/(Parametry!$B$4*(1-Parametry!$B$5)),1))</f>
        <v/>
      </c>
      <c r="AD32" s="4">
        <f>IF(AD31="","",ROUND(AD31*Parametry!$B$6/(Parametry!$B$4*(1-Parametry!$B$5)),1))</f>
        <v/>
      </c>
      <c r="AE32" s="4">
        <f>IF(AE31="","",ROUND(AE31*Parametry!$B$6/(Parametry!$B$4*(1-Parametry!$B$5)),1))</f>
        <v/>
      </c>
      <c r="AF32" s="4">
        <f>IF(AF31="","",ROUND(AF31*Parametry!$B$6/(Parametry!$B$4*(1-Parametry!$B$5)),1))</f>
        <v/>
      </c>
      <c r="AG32" s="4">
        <f>IF(AG31="","",ROUND(AG31*Parametry!$B$6/(Parametry!$B$4*(1-Parametry!$B$5)),1))</f>
        <v/>
      </c>
      <c r="AH32" s="4">
        <f>IF(AH31="","",ROUND(AH31*Parametry!$B$6/(Parametry!$B$4*(1-Parametry!$B$5)),1))</f>
        <v/>
      </c>
      <c r="AI32" s="4">
        <f>IF(AI31="","",ROUND(AI31*Parametry!$B$6/(Parametry!$B$4*(1-Parametry!$B$5)),1))</f>
        <v/>
      </c>
      <c r="AJ32" s="4">
        <f>IF(AJ31="","",ROUND(AJ31*Parametry!$B$6/(Parametry!$B$4*(1-Parametry!$B$5)),1))</f>
        <v/>
      </c>
      <c r="AK32" s="4">
        <f>IF(AK31="","",ROUND(AK31*Parametry!$B$6/(Parametry!$B$4*(1-Parametry!$B$5)),1))</f>
        <v/>
      </c>
      <c r="AL32" s="4">
        <f>IF(AL31="","",ROUND(AL31*Parametry!$B$6/(Parametry!$B$4*(1-Parametry!$B$5)),1))</f>
        <v/>
      </c>
      <c r="AM32" s="4">
        <f>IF(AM31="","",ROUND(AM31*Parametry!$B$6/(Parametry!$B$4*(1-Parametry!$B$5)),1))</f>
        <v/>
      </c>
      <c r="AN32" s="4">
        <f>IF(AN31="","",ROUND(AN31*Parametry!$B$6/(Parametry!$B$4*(1-Parametry!$B$5)),1))</f>
        <v/>
      </c>
      <c r="AO32" s="4">
        <f>IF(AO31="","",ROUND(AO31*Parametry!$B$6/(Parametry!$B$4*(1-Parametry!$B$5)),1))</f>
        <v/>
      </c>
      <c r="AP32" s="4">
        <f>IF(AP31="","",ROUND(AP31*Parametry!$B$6/(Parametry!$B$4*(1-Parametry!$B$5)),1))</f>
        <v/>
      </c>
      <c r="AQ32" s="4">
        <f>IF(AQ31="","",ROUND(AQ31*Parametry!$B$6/(Parametry!$B$4*(1-Parametry!$B$5)),1))</f>
        <v/>
      </c>
      <c r="AR32" s="4">
        <f>IF(AR31="","",ROUND(AR31*Parametry!$B$6/(Parametry!$B$4*(1-Parametry!$B$5)),1))</f>
        <v/>
      </c>
      <c r="AS32" s="4">
        <f>IF(AS31="","",ROUND(AS31*Parametry!$B$6/(Parametry!$B$4*(1-Parametry!$B$5)),1))</f>
        <v/>
      </c>
      <c r="AT32" s="4">
        <f>IF(AT31="","",ROUND(AT31*Parametry!$B$6/(Parametry!$B$4*(1-Parametry!$B$5)),1))</f>
        <v/>
      </c>
      <c r="AU32" s="4">
        <f>IF(AU31="","",ROUND(AU31*Parametry!$B$6/(Parametry!$B$4*(1-Parametry!$B$5)),1))</f>
        <v/>
      </c>
      <c r="AV32" s="4">
        <f>IF(AV31="","",ROUND(AV31*Parametry!$B$6/(Parametry!$B$4*(1-Parametry!$B$5)),1))</f>
        <v/>
      </c>
      <c r="AW32" s="4">
        <f>IF(AW31="","",ROUND(AW31*Parametry!$B$6/(Parametry!$B$4*(1-Parametry!$B$5)),1))</f>
        <v/>
      </c>
      <c r="AX32" s="4">
        <f>IF(AX31="","",ROUND(AX31*Parametry!$B$6/(Parametry!$B$4*(1-Parametry!$B$5)),1))</f>
        <v/>
      </c>
      <c r="AY32" s="4">
        <f>IF(AY31="","",ROUND(AY31*Parametry!$B$6/(Parametry!$B$4*(1-Parametry!$B$5)),1))</f>
        <v/>
      </c>
      <c r="AZ32" s="4">
        <f>IF(AZ31="","",ROUND(AZ31*Parametry!$B$6/(Parametry!$B$4*(1-Parametry!$B$5)),1))</f>
        <v/>
      </c>
      <c r="BA32" s="4">
        <f>IF(BA31="","",ROUND(BA31*Parametry!$B$6/(Parametry!$B$4*(1-Parametry!$B$5)),1))</f>
        <v/>
      </c>
      <c r="BB32" s="4">
        <f>IF(BB31="","",ROUND(BB31*Parametry!$B$6/(Parametry!$B$4*(1-Parametry!$B$5)),1))</f>
        <v/>
      </c>
      <c r="BC32" s="4">
        <f>IF(BC31="","",ROUND(BC31*Parametry!$B$6/(Parametry!$B$4*(1-Parametry!$B$5)),1))</f>
        <v/>
      </c>
      <c r="BD32" s="4">
        <f>IF(BD31="","",ROUND(BD31*Parametry!$B$6/(Parametry!$B$4*(1-Parametry!$B$5)),1))</f>
        <v/>
      </c>
      <c r="BE32" s="4">
        <f>IF(BE31="","",ROUND(BE31*Parametry!$B$6/(Parametry!$B$4*(1-Parametry!$B$5)),1))</f>
        <v/>
      </c>
      <c r="BF32" s="4">
        <f>IF(BF31="","",ROUND(BF31*Parametry!$B$6/(Parametry!$B$4*(1-Parametry!$B$5)),1))</f>
        <v/>
      </c>
      <c r="BG32" s="4">
        <f>IF(BG31="","",ROUND(BG31*Parametry!$B$6/(Parametry!$B$4*(1-Parametry!$B$5)),1))</f>
        <v/>
      </c>
      <c r="BH32" s="4">
        <f>IF(BH31="","",ROUND(BH31*Parametry!$B$6/(Parametry!$B$4*(1-Parametry!$B$5)),1))</f>
        <v/>
      </c>
      <c r="BI32" s="4">
        <f>IF(BI31="","",ROUND(BI31*Parametry!$B$6/(Parametry!$B$4*(1-Parametry!$B$5)),1))</f>
        <v/>
      </c>
      <c r="BJ32" s="4">
        <f>IF(BJ31="","",ROUND(BJ31*Parametry!$B$6/(Parametry!$B$4*(1-Parametry!$B$5)),1))</f>
        <v/>
      </c>
      <c r="BK32" s="4">
        <f>IF(BK31="","",ROUND(BK31*Parametry!$B$6/(Parametry!$B$4*(1-Parametry!$B$5)),1))</f>
        <v/>
      </c>
      <c r="BL32" s="4">
        <f>IF(BL31="","",ROUND(BL31*Parametry!$B$6/(Parametry!$B$4*(1-Parametry!$B$5)),1))</f>
        <v/>
      </c>
      <c r="BM32" s="4">
        <f>IF(BM31="","",ROUND(BM31*Parametry!$B$6/(Parametry!$B$4*(1-Parametry!$B$5)),1))</f>
        <v/>
      </c>
    </row>
    <row r="33">
      <c r="A33" s="19" t="n"/>
      <c r="B33" s="4" t="inlineStr">
        <is>
          <t>Skutečnost FTE</t>
        </is>
      </c>
      <c r="C33" s="20">
        <f>IF(Normy!$G$10="","",ROUND(Normy!$G$10*5*Parametry!$B$6/(Parametry!$B$4*(1-Parametry!$B$5)),1))</f>
        <v/>
      </c>
      <c r="D33" s="20">
        <f>IF(Normy!$G$10="","",ROUND(Normy!$G$10*5*Parametry!$B$6/(Parametry!$B$4*(1-Parametry!$B$5)),1))</f>
        <v/>
      </c>
      <c r="E33" s="20">
        <f>IF(Normy!$G$10="","",ROUND(Normy!$G$10*5*Parametry!$B$6/(Parametry!$B$4*(1-Parametry!$B$5)),1))</f>
        <v/>
      </c>
      <c r="F33" s="20">
        <f>IF(Normy!$G$10="","",ROUND(Normy!$G$10*5*Parametry!$B$6/(Parametry!$B$4*(1-Parametry!$B$5)),1))</f>
        <v/>
      </c>
      <c r="G33" s="20">
        <f>IF(Normy!$G$10="","",ROUND(Normy!$G$10*5*Parametry!$B$6/(Parametry!$B$4*(1-Parametry!$B$5)),1))</f>
        <v/>
      </c>
      <c r="H33" s="20">
        <f>IF(Normy!$G$10="","",ROUND(Normy!$G$10*5*Parametry!$B$6/(Parametry!$B$4*(1-Parametry!$B$5)),1))</f>
        <v/>
      </c>
      <c r="I33" s="20">
        <f>IF(Normy!$G$10="","",ROUND(Normy!$G$10*5*Parametry!$B$6/(Parametry!$B$4*(1-Parametry!$B$5)),1))</f>
        <v/>
      </c>
      <c r="J33" s="20">
        <f>IF(Normy!$G$10="","",ROUND(Normy!$G$10*5*Parametry!$B$6/(Parametry!$B$4*(1-Parametry!$B$5)),1))</f>
        <v/>
      </c>
      <c r="K33" s="20">
        <f>IF(Normy!$G$10="","",ROUND(Normy!$G$10*5*Parametry!$B$6/(Parametry!$B$4*(1-Parametry!$B$5)),1))</f>
        <v/>
      </c>
      <c r="L33" s="20">
        <f>IF(Normy!$G$10="","",ROUND(Normy!$G$10*5*Parametry!$B$6/(Parametry!$B$4*(1-Parametry!$B$5)),1))</f>
        <v/>
      </c>
      <c r="M33" s="20">
        <f>IF(Normy!$G$10="","",ROUND(Normy!$G$10*5*Parametry!$B$6/(Parametry!$B$4*(1-Parametry!$B$5)),1))</f>
        <v/>
      </c>
      <c r="N33" s="20">
        <f>IF(Normy!$G$10="","",ROUND(Normy!$G$10*5*Parametry!$B$6/(Parametry!$B$4*(1-Parametry!$B$5)),1))</f>
        <v/>
      </c>
      <c r="O33" s="20">
        <f>IF(Normy!$G$10="","",ROUND(Normy!$G$10*5*Parametry!$B$6/(Parametry!$B$4*(1-Parametry!$B$5)),1))</f>
        <v/>
      </c>
      <c r="P33" s="20">
        <f>IF(Normy!$G$10="","",ROUND(Normy!$G$10*5*Parametry!$B$6/(Parametry!$B$4*(1-Parametry!$B$5)),1))</f>
        <v/>
      </c>
      <c r="Q33" s="20">
        <f>IF(Normy!$G$10="","",ROUND(Normy!$G$10*5*Parametry!$B$6/(Parametry!$B$4*(1-Parametry!$B$5)),1))</f>
        <v/>
      </c>
      <c r="R33" s="20">
        <f>IF(Normy!$G$10="","",ROUND(Normy!$G$10*5*Parametry!$B$6/(Parametry!$B$4*(1-Parametry!$B$5)),1))</f>
        <v/>
      </c>
      <c r="S33" s="20">
        <f>IF(Normy!$G$10="","",ROUND(Normy!$G$10*5*Parametry!$B$6/(Parametry!$B$4*(1-Parametry!$B$5)),1))</f>
        <v/>
      </c>
      <c r="T33" s="20">
        <f>IF(Normy!$G$10="","",ROUND(Normy!$G$10*5*Parametry!$B$6/(Parametry!$B$4*(1-Parametry!$B$5)),1))</f>
        <v/>
      </c>
      <c r="U33" s="20">
        <f>IF(Normy!$G$10="","",ROUND(Normy!$G$10*5*Parametry!$B$6/(Parametry!$B$4*(1-Parametry!$B$5)),1))</f>
        <v/>
      </c>
      <c r="V33" s="20">
        <f>IF(Normy!$G$10="","",ROUND(Normy!$G$10*5*Parametry!$B$6/(Parametry!$B$4*(1-Parametry!$B$5)),1))</f>
        <v/>
      </c>
      <c r="W33" s="20">
        <f>IF(Normy!$G$10="","",ROUND(Normy!$G$10*5*Parametry!$B$6/(Parametry!$B$4*(1-Parametry!$B$5)),1))</f>
        <v/>
      </c>
      <c r="X33" s="20">
        <f>IF(Normy!$G$10="","",ROUND(Normy!$G$10*5*Parametry!$B$6/(Parametry!$B$4*(1-Parametry!$B$5)),1))</f>
        <v/>
      </c>
      <c r="Y33" s="20">
        <f>IF(Normy!$G$10="","",ROUND(Normy!$G$10*5*Parametry!$B$6/(Parametry!$B$4*(1-Parametry!$B$5)),1))</f>
        <v/>
      </c>
      <c r="Z33" s="20">
        <f>IF(Normy!$G$10="","",ROUND(Normy!$G$10*5*Parametry!$B$6/(Parametry!$B$4*(1-Parametry!$B$5)),1))</f>
        <v/>
      </c>
      <c r="AA33" s="20">
        <f>IF(Normy!$G$10="","",ROUND(Normy!$G$10*5*Parametry!$B$6/(Parametry!$B$4*(1-Parametry!$B$5)),1))</f>
        <v/>
      </c>
      <c r="AB33" s="20">
        <f>IF(Normy!$G$10="","",ROUND(Normy!$G$10*5*Parametry!$B$6/(Parametry!$B$4*(1-Parametry!$B$5)),1))</f>
        <v/>
      </c>
      <c r="AC33" s="20">
        <f>IF(Normy!$G$10="","",ROUND(Normy!$G$10*5*Parametry!$B$6/(Parametry!$B$4*(1-Parametry!$B$5)),1))</f>
        <v/>
      </c>
      <c r="AD33" s="20">
        <f>IF(Normy!$G$10="","",ROUND(Normy!$G$10*5*Parametry!$B$6/(Parametry!$B$4*(1-Parametry!$B$5)),1))</f>
        <v/>
      </c>
      <c r="AE33" s="20">
        <f>IF(Normy!$G$10="","",ROUND(Normy!$G$10*5*Parametry!$B$6/(Parametry!$B$4*(1-Parametry!$B$5)),1))</f>
        <v/>
      </c>
      <c r="AF33" s="20">
        <f>IF(Normy!$G$10="","",ROUND(Normy!$G$10*5*Parametry!$B$6/(Parametry!$B$4*(1-Parametry!$B$5)),1))</f>
        <v/>
      </c>
      <c r="AG33" s="20">
        <f>IF(Normy!$G$10="","",ROUND(Normy!$G$10*5*Parametry!$B$6/(Parametry!$B$4*(1-Parametry!$B$5)),1))</f>
        <v/>
      </c>
      <c r="AH33" s="20">
        <f>IF(Normy!$G$10="","",ROUND(Normy!$G$10*5*Parametry!$B$6/(Parametry!$B$4*(1-Parametry!$B$5)),1))</f>
        <v/>
      </c>
      <c r="AI33" s="20">
        <f>IF(Normy!$G$10="","",ROUND(Normy!$G$10*5*Parametry!$B$6/(Parametry!$B$4*(1-Parametry!$B$5)),1))</f>
        <v/>
      </c>
      <c r="AJ33" s="20">
        <f>IF(Normy!$G$10="","",ROUND(Normy!$G$10*5*Parametry!$B$6/(Parametry!$B$4*(1-Parametry!$B$5)),1))</f>
        <v/>
      </c>
      <c r="AK33" s="20">
        <f>IF(Normy!$G$10="","",ROUND(Normy!$G$10*5*Parametry!$B$6/(Parametry!$B$4*(1-Parametry!$B$5)),1))</f>
        <v/>
      </c>
      <c r="AL33" s="20">
        <f>IF(Normy!$G$10="","",ROUND(Normy!$G$10*5*Parametry!$B$6/(Parametry!$B$4*(1-Parametry!$B$5)),1))</f>
        <v/>
      </c>
      <c r="AM33" s="20">
        <f>IF(Normy!$G$10="","",ROUND(Normy!$G$10*5*Parametry!$B$6/(Parametry!$B$4*(1-Parametry!$B$5)),1))</f>
        <v/>
      </c>
      <c r="AN33" s="20">
        <f>IF(Normy!$G$10="","",ROUND(Normy!$G$10*5*Parametry!$B$6/(Parametry!$B$4*(1-Parametry!$B$5)),1))</f>
        <v/>
      </c>
      <c r="AO33" s="20">
        <f>IF(Normy!$G$10="","",ROUND(Normy!$G$10*5*Parametry!$B$6/(Parametry!$B$4*(1-Parametry!$B$5)),1))</f>
        <v/>
      </c>
      <c r="AP33" s="20">
        <f>IF(Normy!$G$10="","",ROUND(Normy!$G$10*5*Parametry!$B$6/(Parametry!$B$4*(1-Parametry!$B$5)),1))</f>
        <v/>
      </c>
      <c r="AQ33" s="20">
        <f>IF(Normy!$G$10="","",ROUND(Normy!$G$10*5*Parametry!$B$6/(Parametry!$B$4*(1-Parametry!$B$5)),1))</f>
        <v/>
      </c>
      <c r="AR33" s="20">
        <f>IF(Normy!$G$10="","",ROUND(Normy!$G$10*5*Parametry!$B$6/(Parametry!$B$4*(1-Parametry!$B$5)),1))</f>
        <v/>
      </c>
      <c r="AS33" s="20">
        <f>IF(Normy!$G$10="","",ROUND(Normy!$G$10*5*Parametry!$B$6/(Parametry!$B$4*(1-Parametry!$B$5)),1))</f>
        <v/>
      </c>
      <c r="AT33" s="20">
        <f>IF(Normy!$G$10="","",ROUND(Normy!$G$10*5*Parametry!$B$6/(Parametry!$B$4*(1-Parametry!$B$5)),1))</f>
        <v/>
      </c>
      <c r="AU33" s="20">
        <f>IF(Normy!$G$10="","",ROUND(Normy!$G$10*5*Parametry!$B$6/(Parametry!$B$4*(1-Parametry!$B$5)),1))</f>
        <v/>
      </c>
      <c r="AV33" s="20">
        <f>IF(Normy!$G$10="","",ROUND(Normy!$G$10*5*Parametry!$B$6/(Parametry!$B$4*(1-Parametry!$B$5)),1))</f>
        <v/>
      </c>
      <c r="AW33" s="20">
        <f>IF(Normy!$G$10="","",ROUND(Normy!$G$10*5*Parametry!$B$6/(Parametry!$B$4*(1-Parametry!$B$5)),1))</f>
        <v/>
      </c>
      <c r="AX33" s="20">
        <f>IF(Normy!$G$10="","",ROUND(Normy!$G$10*5*Parametry!$B$6/(Parametry!$B$4*(1-Parametry!$B$5)),1))</f>
        <v/>
      </c>
      <c r="AY33" s="20">
        <f>IF(Normy!$G$10="","",ROUND(Normy!$G$10*5*Parametry!$B$6/(Parametry!$B$4*(1-Parametry!$B$5)),1))</f>
        <v/>
      </c>
      <c r="AZ33" s="20">
        <f>IF(Normy!$G$10="","",ROUND(Normy!$G$10*5*Parametry!$B$6/(Parametry!$B$4*(1-Parametry!$B$5)),1))</f>
        <v/>
      </c>
      <c r="BA33" s="20">
        <f>IF(Normy!$G$10="","",ROUND(Normy!$G$10*5*Parametry!$B$6/(Parametry!$B$4*(1-Parametry!$B$5)),1))</f>
        <v/>
      </c>
      <c r="BB33" s="20">
        <f>IF(Normy!$G$10="","",ROUND(Normy!$G$10*5*Parametry!$B$6/(Parametry!$B$4*(1-Parametry!$B$5)),1))</f>
        <v/>
      </c>
      <c r="BC33" s="20">
        <f>IF(Normy!$G$10="","",ROUND(Normy!$G$10*5*Parametry!$B$6/(Parametry!$B$4*(1-Parametry!$B$5)),1))</f>
        <v/>
      </c>
      <c r="BD33" s="20">
        <f>IF(Normy!$G$10="","",ROUND(Normy!$G$10*5*Parametry!$B$6/(Parametry!$B$4*(1-Parametry!$B$5)),1))</f>
        <v/>
      </c>
      <c r="BE33" s="20">
        <f>IF(Normy!$G$10="","",ROUND(Normy!$G$10*5*Parametry!$B$6/(Parametry!$B$4*(1-Parametry!$B$5)),1))</f>
        <v/>
      </c>
      <c r="BF33" s="20">
        <f>IF(Normy!$G$10="","",ROUND(Normy!$G$10*5*Parametry!$B$6/(Parametry!$B$4*(1-Parametry!$B$5)),1))</f>
        <v/>
      </c>
      <c r="BG33" s="20">
        <f>IF(Normy!$G$10="","",ROUND(Normy!$G$10*5*Parametry!$B$6/(Parametry!$B$4*(1-Parametry!$B$5)),1))</f>
        <v/>
      </c>
      <c r="BH33" s="20">
        <f>IF(Normy!$G$10="","",ROUND(Normy!$G$10*5*Parametry!$B$6/(Parametry!$B$4*(1-Parametry!$B$5)),1))</f>
        <v/>
      </c>
      <c r="BI33" s="20">
        <f>IF(Normy!$G$10="","",ROUND(Normy!$G$10*5*Parametry!$B$6/(Parametry!$B$4*(1-Parametry!$B$5)),1))</f>
        <v/>
      </c>
      <c r="BJ33" s="20">
        <f>IF(Normy!$G$10="","",ROUND(Normy!$G$10*5*Parametry!$B$6/(Parametry!$B$4*(1-Parametry!$B$5)),1))</f>
        <v/>
      </c>
      <c r="BK33" s="20">
        <f>IF(Normy!$G$10="","",ROUND(Normy!$G$10*5*Parametry!$B$6/(Parametry!$B$4*(1-Parametry!$B$5)),1))</f>
        <v/>
      </c>
      <c r="BL33" s="20">
        <f>IF(Normy!$G$10="","",ROUND(Normy!$G$10*5*Parametry!$B$6/(Parametry!$B$4*(1-Parametry!$B$5)),1))</f>
        <v/>
      </c>
      <c r="BM33" s="20">
        <f>IF(Normy!$G$10="","",ROUND(Normy!$G$10*5*Parametry!$B$6/(Parametry!$B$4*(1-Parametry!$B$5)),1))</f>
        <v/>
      </c>
    </row>
    <row r="34">
      <c r="A34" s="19" t="n"/>
      <c r="B34" s="4" t="inlineStr">
        <is>
          <t>Gap FTE (skut. − potřeba)</t>
        </is>
      </c>
      <c r="C34" s="20">
        <f>IF(OR(C33="",C32=""),"",C33-C32)</f>
        <v/>
      </c>
      <c r="D34" s="20">
        <f>IF(OR(D33="",D32=""),"",D33-D32)</f>
        <v/>
      </c>
      <c r="E34" s="20">
        <f>IF(OR(E33="",E32=""),"",E33-E32)</f>
        <v/>
      </c>
      <c r="F34" s="20">
        <f>IF(OR(F33="",F32=""),"",F33-F32)</f>
        <v/>
      </c>
      <c r="G34" s="20">
        <f>IF(OR(G33="",G32=""),"",G33-G32)</f>
        <v/>
      </c>
      <c r="H34" s="20">
        <f>IF(OR(H33="",H32=""),"",H33-H32)</f>
        <v/>
      </c>
      <c r="I34" s="20">
        <f>IF(OR(I33="",I32=""),"",I33-I32)</f>
        <v/>
      </c>
      <c r="J34" s="20">
        <f>IF(OR(J33="",J32=""),"",J33-J32)</f>
        <v/>
      </c>
      <c r="K34" s="20">
        <f>IF(OR(K33="",K32=""),"",K33-K32)</f>
        <v/>
      </c>
      <c r="L34" s="20">
        <f>IF(OR(L33="",L32=""),"",L33-L32)</f>
        <v/>
      </c>
      <c r="M34" s="20">
        <f>IF(OR(M33="",M32=""),"",M33-M32)</f>
        <v/>
      </c>
      <c r="N34" s="20">
        <f>IF(OR(N33="",N32=""),"",N33-N32)</f>
        <v/>
      </c>
      <c r="O34" s="20">
        <f>IF(OR(O33="",O32=""),"",O33-O32)</f>
        <v/>
      </c>
      <c r="P34" s="20">
        <f>IF(OR(P33="",P32=""),"",P33-P32)</f>
        <v/>
      </c>
      <c r="Q34" s="20">
        <f>IF(OR(Q33="",Q32=""),"",Q33-Q32)</f>
        <v/>
      </c>
      <c r="R34" s="20">
        <f>IF(OR(R33="",R32=""),"",R33-R32)</f>
        <v/>
      </c>
      <c r="S34" s="20">
        <f>IF(OR(S33="",S32=""),"",S33-S32)</f>
        <v/>
      </c>
      <c r="T34" s="20">
        <f>IF(OR(T33="",T32=""),"",T33-T32)</f>
        <v/>
      </c>
      <c r="U34" s="20">
        <f>IF(OR(U33="",U32=""),"",U33-U32)</f>
        <v/>
      </c>
      <c r="V34" s="20">
        <f>IF(OR(V33="",V32=""),"",V33-V32)</f>
        <v/>
      </c>
      <c r="W34" s="20">
        <f>IF(OR(W33="",W32=""),"",W33-W32)</f>
        <v/>
      </c>
      <c r="X34" s="20">
        <f>IF(OR(X33="",X32=""),"",X33-X32)</f>
        <v/>
      </c>
      <c r="Y34" s="20">
        <f>IF(OR(Y33="",Y32=""),"",Y33-Y32)</f>
        <v/>
      </c>
      <c r="Z34" s="20">
        <f>IF(OR(Z33="",Z32=""),"",Z33-Z32)</f>
        <v/>
      </c>
      <c r="AA34" s="20">
        <f>IF(OR(AA33="",AA32=""),"",AA33-AA32)</f>
        <v/>
      </c>
      <c r="AB34" s="20">
        <f>IF(OR(AB33="",AB32=""),"",AB33-AB32)</f>
        <v/>
      </c>
      <c r="AC34" s="20">
        <f>IF(OR(AC33="",AC32=""),"",AC33-AC32)</f>
        <v/>
      </c>
      <c r="AD34" s="20">
        <f>IF(OR(AD33="",AD32=""),"",AD33-AD32)</f>
        <v/>
      </c>
      <c r="AE34" s="20">
        <f>IF(OR(AE33="",AE32=""),"",AE33-AE32)</f>
        <v/>
      </c>
      <c r="AF34" s="20">
        <f>IF(OR(AF33="",AF32=""),"",AF33-AF32)</f>
        <v/>
      </c>
      <c r="AG34" s="20">
        <f>IF(OR(AG33="",AG32=""),"",AG33-AG32)</f>
        <v/>
      </c>
      <c r="AH34" s="20">
        <f>IF(OR(AH33="",AH32=""),"",AH33-AH32)</f>
        <v/>
      </c>
      <c r="AI34" s="20">
        <f>IF(OR(AI33="",AI32=""),"",AI33-AI32)</f>
        <v/>
      </c>
      <c r="AJ34" s="20">
        <f>IF(OR(AJ33="",AJ32=""),"",AJ33-AJ32)</f>
        <v/>
      </c>
      <c r="AK34" s="20">
        <f>IF(OR(AK33="",AK32=""),"",AK33-AK32)</f>
        <v/>
      </c>
      <c r="AL34" s="20">
        <f>IF(OR(AL33="",AL32=""),"",AL33-AL32)</f>
        <v/>
      </c>
      <c r="AM34" s="20">
        <f>IF(OR(AM33="",AM32=""),"",AM33-AM32)</f>
        <v/>
      </c>
      <c r="AN34" s="20">
        <f>IF(OR(AN33="",AN32=""),"",AN33-AN32)</f>
        <v/>
      </c>
      <c r="AO34" s="20">
        <f>IF(OR(AO33="",AO32=""),"",AO33-AO32)</f>
        <v/>
      </c>
      <c r="AP34" s="20">
        <f>IF(OR(AP33="",AP32=""),"",AP33-AP32)</f>
        <v/>
      </c>
      <c r="AQ34" s="20">
        <f>IF(OR(AQ33="",AQ32=""),"",AQ33-AQ32)</f>
        <v/>
      </c>
      <c r="AR34" s="20">
        <f>IF(OR(AR33="",AR32=""),"",AR33-AR32)</f>
        <v/>
      </c>
      <c r="AS34" s="20">
        <f>IF(OR(AS33="",AS32=""),"",AS33-AS32)</f>
        <v/>
      </c>
      <c r="AT34" s="20">
        <f>IF(OR(AT33="",AT32=""),"",AT33-AT32)</f>
        <v/>
      </c>
      <c r="AU34" s="20">
        <f>IF(OR(AU33="",AU32=""),"",AU33-AU32)</f>
        <v/>
      </c>
      <c r="AV34" s="20">
        <f>IF(OR(AV33="",AV32=""),"",AV33-AV32)</f>
        <v/>
      </c>
      <c r="AW34" s="20">
        <f>IF(OR(AW33="",AW32=""),"",AW33-AW32)</f>
        <v/>
      </c>
      <c r="AX34" s="20">
        <f>IF(OR(AX33="",AX32=""),"",AX33-AX32)</f>
        <v/>
      </c>
      <c r="AY34" s="20">
        <f>IF(OR(AY33="",AY32=""),"",AY33-AY32)</f>
        <v/>
      </c>
      <c r="AZ34" s="20">
        <f>IF(OR(AZ33="",AZ32=""),"",AZ33-AZ32)</f>
        <v/>
      </c>
      <c r="BA34" s="20">
        <f>IF(OR(BA33="",BA32=""),"",BA33-BA32)</f>
        <v/>
      </c>
      <c r="BB34" s="20">
        <f>IF(OR(BB33="",BB32=""),"",BB33-BB32)</f>
        <v/>
      </c>
      <c r="BC34" s="20">
        <f>IF(OR(BC33="",BC32=""),"",BC33-BC32)</f>
        <v/>
      </c>
      <c r="BD34" s="20">
        <f>IF(OR(BD33="",BD32=""),"",BD33-BD32)</f>
        <v/>
      </c>
      <c r="BE34" s="20">
        <f>IF(OR(BE33="",BE32=""),"",BE33-BE32)</f>
        <v/>
      </c>
      <c r="BF34" s="20">
        <f>IF(OR(BF33="",BF32=""),"",BF33-BF32)</f>
        <v/>
      </c>
      <c r="BG34" s="20">
        <f>IF(OR(BG33="",BG32=""),"",BG33-BG32)</f>
        <v/>
      </c>
      <c r="BH34" s="20">
        <f>IF(OR(BH33="",BH32=""),"",BH33-BH32)</f>
        <v/>
      </c>
      <c r="BI34" s="20">
        <f>IF(OR(BI33="",BI32=""),"",BI33-BI32)</f>
        <v/>
      </c>
      <c r="BJ34" s="20">
        <f>IF(OR(BJ33="",BJ32=""),"",BJ33-BJ32)</f>
        <v/>
      </c>
      <c r="BK34" s="20">
        <f>IF(OR(BK33="",BK32=""),"",BK33-BK32)</f>
        <v/>
      </c>
      <c r="BL34" s="20">
        <f>IF(OR(BL33="",BL32=""),"",BL33-BL32)</f>
        <v/>
      </c>
      <c r="BM34" s="20">
        <f>IF(OR(BM33="",BM32=""),"",BM33-BM32)</f>
        <v/>
      </c>
    </row>
    <row r="35">
      <c r="A35" s="18" t="inlineStr">
        <is>
          <t>MBEAM</t>
        </is>
      </c>
      <c r="B35" s="4" t="inlineStr">
        <is>
          <t>Potřebné směny (8h)</t>
        </is>
      </c>
      <c r="C35" s="4">
        <f>IF(OR(Normy!$C$11="",'Volume po lince'!B10=0),"",ROUNDUP('Volume po lince'!B10/(Normy!$C$11*IF(Normy!$D$11="",Parametry!$B$7,Normy!$D$11)),0))</f>
        <v/>
      </c>
      <c r="D35" s="4">
        <f>IF(OR(Normy!$C$11="",'Volume po lince'!C10=0),"",ROUNDUP('Volume po lince'!C10/(Normy!$C$11*IF(Normy!$D$11="",Parametry!$B$7,Normy!$D$11)),0))</f>
        <v/>
      </c>
      <c r="E35" s="4">
        <f>IF(OR(Normy!$C$11="",'Volume po lince'!D10=0),"",ROUNDUP('Volume po lince'!D10/(Normy!$C$11*IF(Normy!$D$11="",Parametry!$B$7,Normy!$D$11)),0))</f>
        <v/>
      </c>
      <c r="F35" s="4">
        <f>IF(OR(Normy!$C$11="",'Volume po lince'!E10=0),"",ROUNDUP('Volume po lince'!E10/(Normy!$C$11*IF(Normy!$D$11="",Parametry!$B$7,Normy!$D$11)),0))</f>
        <v/>
      </c>
      <c r="G35" s="4">
        <f>IF(OR(Normy!$C$11="",'Volume po lince'!F10=0),"",ROUNDUP('Volume po lince'!F10/(Normy!$C$11*IF(Normy!$D$11="",Parametry!$B$7,Normy!$D$11)),0))</f>
        <v/>
      </c>
      <c r="H35" s="4">
        <f>IF(OR(Normy!$C$11="",'Volume po lince'!G10=0),"",ROUNDUP('Volume po lince'!G10/(Normy!$C$11*IF(Normy!$D$11="",Parametry!$B$7,Normy!$D$11)),0))</f>
        <v/>
      </c>
      <c r="I35" s="4">
        <f>IF(OR(Normy!$C$11="",'Volume po lince'!H10=0),"",ROUNDUP('Volume po lince'!H10/(Normy!$C$11*IF(Normy!$D$11="",Parametry!$B$7,Normy!$D$11)),0))</f>
        <v/>
      </c>
      <c r="J35" s="4">
        <f>IF(OR(Normy!$C$11="",'Volume po lince'!I10=0),"",ROUNDUP('Volume po lince'!I10/(Normy!$C$11*IF(Normy!$D$11="",Parametry!$B$7,Normy!$D$11)),0))</f>
        <v/>
      </c>
      <c r="K35" s="4">
        <f>IF(OR(Normy!$C$11="",'Volume po lince'!J10=0),"",ROUNDUP('Volume po lince'!J10/(Normy!$C$11*IF(Normy!$D$11="",Parametry!$B$7,Normy!$D$11)),0))</f>
        <v/>
      </c>
      <c r="L35" s="4">
        <f>IF(OR(Normy!$C$11="",'Volume po lince'!K10=0),"",ROUNDUP('Volume po lince'!K10/(Normy!$C$11*IF(Normy!$D$11="",Parametry!$B$7,Normy!$D$11)),0))</f>
        <v/>
      </c>
      <c r="M35" s="4">
        <f>IF(OR(Normy!$C$11="",'Volume po lince'!L10=0),"",ROUNDUP('Volume po lince'!L10/(Normy!$C$11*IF(Normy!$D$11="",Parametry!$B$7,Normy!$D$11)),0))</f>
        <v/>
      </c>
      <c r="N35" s="4">
        <f>IF(OR(Normy!$C$11="",'Volume po lince'!M10=0),"",ROUNDUP('Volume po lince'!M10/(Normy!$C$11*IF(Normy!$D$11="",Parametry!$B$7,Normy!$D$11)),0))</f>
        <v/>
      </c>
      <c r="O35" s="4">
        <f>IF(OR(Normy!$C$11="",'Volume po lince'!N10=0),"",ROUNDUP('Volume po lince'!N10/(Normy!$C$11*IF(Normy!$D$11="",Parametry!$B$7,Normy!$D$11)),0))</f>
        <v/>
      </c>
      <c r="P35" s="4">
        <f>IF(OR(Normy!$C$11="",'Volume po lince'!O10=0),"",ROUNDUP('Volume po lince'!O10/(Normy!$C$11*IF(Normy!$D$11="",Parametry!$B$7,Normy!$D$11)),0))</f>
        <v/>
      </c>
      <c r="Q35" s="4">
        <f>IF(OR(Normy!$C$11="",'Volume po lince'!P10=0),"",ROUNDUP('Volume po lince'!P10/(Normy!$C$11*IF(Normy!$D$11="",Parametry!$B$7,Normy!$D$11)),0))</f>
        <v/>
      </c>
      <c r="R35" s="4">
        <f>IF(OR(Normy!$C$11="",'Volume po lince'!Q10=0),"",ROUNDUP('Volume po lince'!Q10/(Normy!$C$11*IF(Normy!$D$11="",Parametry!$B$7,Normy!$D$11)),0))</f>
        <v/>
      </c>
      <c r="S35" s="4">
        <f>IF(OR(Normy!$C$11="",'Volume po lince'!R10=0),"",ROUNDUP('Volume po lince'!R10/(Normy!$C$11*IF(Normy!$D$11="",Parametry!$B$7,Normy!$D$11)),0))</f>
        <v/>
      </c>
      <c r="T35" s="4">
        <f>IF(OR(Normy!$C$11="",'Volume po lince'!S10=0),"",ROUNDUP('Volume po lince'!S10/(Normy!$C$11*IF(Normy!$D$11="",Parametry!$B$7,Normy!$D$11)),0))</f>
        <v/>
      </c>
      <c r="U35" s="4">
        <f>IF(OR(Normy!$C$11="",'Volume po lince'!T10=0),"",ROUNDUP('Volume po lince'!T10/(Normy!$C$11*IF(Normy!$D$11="",Parametry!$B$7,Normy!$D$11)),0))</f>
        <v/>
      </c>
      <c r="V35" s="4">
        <f>IF(OR(Normy!$C$11="",'Volume po lince'!U10=0),"",ROUNDUP('Volume po lince'!U10/(Normy!$C$11*IF(Normy!$D$11="",Parametry!$B$7,Normy!$D$11)),0))</f>
        <v/>
      </c>
      <c r="W35" s="4">
        <f>IF(OR(Normy!$C$11="",'Volume po lince'!V10=0),"",ROUNDUP('Volume po lince'!V10/(Normy!$C$11*IF(Normy!$D$11="",Parametry!$B$7,Normy!$D$11)),0))</f>
        <v/>
      </c>
      <c r="X35" s="4">
        <f>IF(OR(Normy!$C$11="",'Volume po lince'!W10=0),"",ROUNDUP('Volume po lince'!W10/(Normy!$C$11*IF(Normy!$D$11="",Parametry!$B$7,Normy!$D$11)),0))</f>
        <v/>
      </c>
      <c r="Y35" s="4">
        <f>IF(OR(Normy!$C$11="",'Volume po lince'!X10=0),"",ROUNDUP('Volume po lince'!X10/(Normy!$C$11*IF(Normy!$D$11="",Parametry!$B$7,Normy!$D$11)),0))</f>
        <v/>
      </c>
      <c r="Z35" s="4">
        <f>IF(OR(Normy!$C$11="",'Volume po lince'!Y10=0),"",ROUNDUP('Volume po lince'!Y10/(Normy!$C$11*IF(Normy!$D$11="",Parametry!$B$7,Normy!$D$11)),0))</f>
        <v/>
      </c>
      <c r="AA35" s="4">
        <f>IF(OR(Normy!$C$11="",'Volume po lince'!Z10=0),"",ROUNDUP('Volume po lince'!Z10/(Normy!$C$11*IF(Normy!$D$11="",Parametry!$B$7,Normy!$D$11)),0))</f>
        <v/>
      </c>
      <c r="AB35" s="4">
        <f>IF(OR(Normy!$C$11="",'Volume po lince'!AA10=0),"",ROUNDUP('Volume po lince'!AA10/(Normy!$C$11*IF(Normy!$D$11="",Parametry!$B$7,Normy!$D$11)),0))</f>
        <v/>
      </c>
      <c r="AC35" s="4">
        <f>IF(OR(Normy!$C$11="",'Volume po lince'!AB10=0),"",ROUNDUP('Volume po lince'!AB10/(Normy!$C$11*IF(Normy!$D$11="",Parametry!$B$7,Normy!$D$11)),0))</f>
        <v/>
      </c>
      <c r="AD35" s="4">
        <f>IF(OR(Normy!$C$11="",'Volume po lince'!AC10=0),"",ROUNDUP('Volume po lince'!AC10/(Normy!$C$11*IF(Normy!$D$11="",Parametry!$B$7,Normy!$D$11)),0))</f>
        <v/>
      </c>
      <c r="AE35" s="4">
        <f>IF(OR(Normy!$C$11="",'Volume po lince'!AD10=0),"",ROUNDUP('Volume po lince'!AD10/(Normy!$C$11*IF(Normy!$D$11="",Parametry!$B$7,Normy!$D$11)),0))</f>
        <v/>
      </c>
      <c r="AF35" s="4">
        <f>IF(OR(Normy!$C$11="",'Volume po lince'!AE10=0),"",ROUNDUP('Volume po lince'!AE10/(Normy!$C$11*IF(Normy!$D$11="",Parametry!$B$7,Normy!$D$11)),0))</f>
        <v/>
      </c>
      <c r="AG35" s="4">
        <f>IF(OR(Normy!$C$11="",'Volume po lince'!AF10=0),"",ROUNDUP('Volume po lince'!AF10/(Normy!$C$11*IF(Normy!$D$11="",Parametry!$B$7,Normy!$D$11)),0))</f>
        <v/>
      </c>
      <c r="AH35" s="4">
        <f>IF(OR(Normy!$C$11="",'Volume po lince'!AG10=0),"",ROUNDUP('Volume po lince'!AG10/(Normy!$C$11*IF(Normy!$D$11="",Parametry!$B$7,Normy!$D$11)),0))</f>
        <v/>
      </c>
      <c r="AI35" s="4">
        <f>IF(OR(Normy!$C$11="",'Volume po lince'!AH10=0),"",ROUNDUP('Volume po lince'!AH10/(Normy!$C$11*IF(Normy!$D$11="",Parametry!$B$7,Normy!$D$11)),0))</f>
        <v/>
      </c>
      <c r="AJ35" s="4">
        <f>IF(OR(Normy!$C$11="",'Volume po lince'!AI10=0),"",ROUNDUP('Volume po lince'!AI10/(Normy!$C$11*IF(Normy!$D$11="",Parametry!$B$7,Normy!$D$11)),0))</f>
        <v/>
      </c>
      <c r="AK35" s="4">
        <f>IF(OR(Normy!$C$11="",'Volume po lince'!AJ10=0),"",ROUNDUP('Volume po lince'!AJ10/(Normy!$C$11*IF(Normy!$D$11="",Parametry!$B$7,Normy!$D$11)),0))</f>
        <v/>
      </c>
      <c r="AL35" s="4">
        <f>IF(OR(Normy!$C$11="",'Volume po lince'!AK10=0),"",ROUNDUP('Volume po lince'!AK10/(Normy!$C$11*IF(Normy!$D$11="",Parametry!$B$7,Normy!$D$11)),0))</f>
        <v/>
      </c>
      <c r="AM35" s="4">
        <f>IF(OR(Normy!$C$11="",'Volume po lince'!AL10=0),"",ROUNDUP('Volume po lince'!AL10/(Normy!$C$11*IF(Normy!$D$11="",Parametry!$B$7,Normy!$D$11)),0))</f>
        <v/>
      </c>
      <c r="AN35" s="4">
        <f>IF(OR(Normy!$C$11="",'Volume po lince'!AM10=0),"",ROUNDUP('Volume po lince'!AM10/(Normy!$C$11*IF(Normy!$D$11="",Parametry!$B$7,Normy!$D$11)),0))</f>
        <v/>
      </c>
      <c r="AO35" s="4">
        <f>IF(OR(Normy!$C$11="",'Volume po lince'!AN10=0),"",ROUNDUP('Volume po lince'!AN10/(Normy!$C$11*IF(Normy!$D$11="",Parametry!$B$7,Normy!$D$11)),0))</f>
        <v/>
      </c>
      <c r="AP35" s="4">
        <f>IF(OR(Normy!$C$11="",'Volume po lince'!AO10=0),"",ROUNDUP('Volume po lince'!AO10/(Normy!$C$11*IF(Normy!$D$11="",Parametry!$B$7,Normy!$D$11)),0))</f>
        <v/>
      </c>
      <c r="AQ35" s="4">
        <f>IF(OR(Normy!$C$11="",'Volume po lince'!AP10=0),"",ROUNDUP('Volume po lince'!AP10/(Normy!$C$11*IF(Normy!$D$11="",Parametry!$B$7,Normy!$D$11)),0))</f>
        <v/>
      </c>
      <c r="AR35" s="4">
        <f>IF(OR(Normy!$C$11="",'Volume po lince'!AQ10=0),"",ROUNDUP('Volume po lince'!AQ10/(Normy!$C$11*IF(Normy!$D$11="",Parametry!$B$7,Normy!$D$11)),0))</f>
        <v/>
      </c>
      <c r="AS35" s="4">
        <f>IF(OR(Normy!$C$11="",'Volume po lince'!AR10=0),"",ROUNDUP('Volume po lince'!AR10/(Normy!$C$11*IF(Normy!$D$11="",Parametry!$B$7,Normy!$D$11)),0))</f>
        <v/>
      </c>
      <c r="AT35" s="4">
        <f>IF(OR(Normy!$C$11="",'Volume po lince'!AS10=0),"",ROUNDUP('Volume po lince'!AS10/(Normy!$C$11*IF(Normy!$D$11="",Parametry!$B$7,Normy!$D$11)),0))</f>
        <v/>
      </c>
      <c r="AU35" s="4">
        <f>IF(OR(Normy!$C$11="",'Volume po lince'!AT10=0),"",ROUNDUP('Volume po lince'!AT10/(Normy!$C$11*IF(Normy!$D$11="",Parametry!$B$7,Normy!$D$11)),0))</f>
        <v/>
      </c>
      <c r="AV35" s="4">
        <f>IF(OR(Normy!$C$11="",'Volume po lince'!AU10=0),"",ROUNDUP('Volume po lince'!AU10/(Normy!$C$11*IF(Normy!$D$11="",Parametry!$B$7,Normy!$D$11)),0))</f>
        <v/>
      </c>
      <c r="AW35" s="4">
        <f>IF(OR(Normy!$C$11="",'Volume po lince'!AV10=0),"",ROUNDUP('Volume po lince'!AV10/(Normy!$C$11*IF(Normy!$D$11="",Parametry!$B$7,Normy!$D$11)),0))</f>
        <v/>
      </c>
      <c r="AX35" s="4">
        <f>IF(OR(Normy!$C$11="",'Volume po lince'!AW10=0),"",ROUNDUP('Volume po lince'!AW10/(Normy!$C$11*IF(Normy!$D$11="",Parametry!$B$7,Normy!$D$11)),0))</f>
        <v/>
      </c>
      <c r="AY35" s="4">
        <f>IF(OR(Normy!$C$11="",'Volume po lince'!AX10=0),"",ROUNDUP('Volume po lince'!AX10/(Normy!$C$11*IF(Normy!$D$11="",Parametry!$B$7,Normy!$D$11)),0))</f>
        <v/>
      </c>
      <c r="AZ35" s="4">
        <f>IF(OR(Normy!$C$11="",'Volume po lince'!AY10=0),"",ROUNDUP('Volume po lince'!AY10/(Normy!$C$11*IF(Normy!$D$11="",Parametry!$B$7,Normy!$D$11)),0))</f>
        <v/>
      </c>
      <c r="BA35" s="4">
        <f>IF(OR(Normy!$C$11="",'Volume po lince'!AZ10=0),"",ROUNDUP('Volume po lince'!AZ10/(Normy!$C$11*IF(Normy!$D$11="",Parametry!$B$7,Normy!$D$11)),0))</f>
        <v/>
      </c>
      <c r="BB35" s="4">
        <f>IF(OR(Normy!$C$11="",'Volume po lince'!BA10=0),"",ROUNDUP('Volume po lince'!BA10/(Normy!$C$11*IF(Normy!$D$11="",Parametry!$B$7,Normy!$D$11)),0))</f>
        <v/>
      </c>
      <c r="BC35" s="4">
        <f>IF(OR(Normy!$C$11="",'Volume po lince'!BB10=0),"",ROUNDUP('Volume po lince'!BB10/(Normy!$C$11*IF(Normy!$D$11="",Parametry!$B$7,Normy!$D$11)),0))</f>
        <v/>
      </c>
      <c r="BD35" s="4">
        <f>IF(OR(Normy!$C$11="",'Volume po lince'!BC10=0),"",ROUNDUP('Volume po lince'!BC10/(Normy!$C$11*IF(Normy!$D$11="",Parametry!$B$7,Normy!$D$11)),0))</f>
        <v/>
      </c>
      <c r="BE35" s="4">
        <f>IF(OR(Normy!$C$11="",'Volume po lince'!BD10=0),"",ROUNDUP('Volume po lince'!BD10/(Normy!$C$11*IF(Normy!$D$11="",Parametry!$B$7,Normy!$D$11)),0))</f>
        <v/>
      </c>
      <c r="BF35" s="4">
        <f>IF(OR(Normy!$C$11="",'Volume po lince'!BE10=0),"",ROUNDUP('Volume po lince'!BE10/(Normy!$C$11*IF(Normy!$D$11="",Parametry!$B$7,Normy!$D$11)),0))</f>
        <v/>
      </c>
      <c r="BG35" s="4">
        <f>IF(OR(Normy!$C$11="",'Volume po lince'!BF10=0),"",ROUNDUP('Volume po lince'!BF10/(Normy!$C$11*IF(Normy!$D$11="",Parametry!$B$7,Normy!$D$11)),0))</f>
        <v/>
      </c>
      <c r="BH35" s="4">
        <f>IF(OR(Normy!$C$11="",'Volume po lince'!BG10=0),"",ROUNDUP('Volume po lince'!BG10/(Normy!$C$11*IF(Normy!$D$11="",Parametry!$B$7,Normy!$D$11)),0))</f>
        <v/>
      </c>
      <c r="BI35" s="4">
        <f>IF(OR(Normy!$C$11="",'Volume po lince'!BH10=0),"",ROUNDUP('Volume po lince'!BH10/(Normy!$C$11*IF(Normy!$D$11="",Parametry!$B$7,Normy!$D$11)),0))</f>
        <v/>
      </c>
      <c r="BJ35" s="4">
        <f>IF(OR(Normy!$C$11="",'Volume po lince'!BI10=0),"",ROUNDUP('Volume po lince'!BI10/(Normy!$C$11*IF(Normy!$D$11="",Parametry!$B$7,Normy!$D$11)),0))</f>
        <v/>
      </c>
      <c r="BK35" s="4">
        <f>IF(OR(Normy!$C$11="",'Volume po lince'!BJ10=0),"",ROUNDUP('Volume po lince'!BJ10/(Normy!$C$11*IF(Normy!$D$11="",Parametry!$B$7,Normy!$D$11)),0))</f>
        <v/>
      </c>
      <c r="BL35" s="4">
        <f>IF(OR(Normy!$C$11="",'Volume po lince'!BK10=0),"",ROUNDUP('Volume po lince'!BK10/(Normy!$C$11*IF(Normy!$D$11="",Parametry!$B$7,Normy!$D$11)),0))</f>
        <v/>
      </c>
      <c r="BM35" s="4">
        <f>IF(OR(Normy!$C$11="",'Volume po lince'!BL10=0),"",ROUNDUP('Volume po lince'!BL10/(Normy!$C$11*IF(Normy!$D$11="",Parametry!$B$7,Normy!$D$11)),0))</f>
        <v/>
      </c>
    </row>
    <row r="36">
      <c r="A36" s="19" t="n"/>
      <c r="B36" s="4" t="inlineStr">
        <is>
          <t>OP-směn</t>
        </is>
      </c>
      <c r="C36" s="4">
        <f>IF(OR(C35="",Normy!$E$11=""),"",C35*Normy!$E$11)</f>
        <v/>
      </c>
      <c r="D36" s="4">
        <f>IF(OR(D35="",Normy!$E$11=""),"",D35*Normy!$E$11)</f>
        <v/>
      </c>
      <c r="E36" s="4">
        <f>IF(OR(E35="",Normy!$E$11=""),"",E35*Normy!$E$11)</f>
        <v/>
      </c>
      <c r="F36" s="4">
        <f>IF(OR(F35="",Normy!$E$11=""),"",F35*Normy!$E$11)</f>
        <v/>
      </c>
      <c r="G36" s="4">
        <f>IF(OR(G35="",Normy!$E$11=""),"",G35*Normy!$E$11)</f>
        <v/>
      </c>
      <c r="H36" s="4">
        <f>IF(OR(H35="",Normy!$E$11=""),"",H35*Normy!$E$11)</f>
        <v/>
      </c>
      <c r="I36" s="4">
        <f>IF(OR(I35="",Normy!$E$11=""),"",I35*Normy!$E$11)</f>
        <v/>
      </c>
      <c r="J36" s="4">
        <f>IF(OR(J35="",Normy!$E$11=""),"",J35*Normy!$E$11)</f>
        <v/>
      </c>
      <c r="K36" s="4">
        <f>IF(OR(K35="",Normy!$E$11=""),"",K35*Normy!$E$11)</f>
        <v/>
      </c>
      <c r="L36" s="4">
        <f>IF(OR(L35="",Normy!$E$11=""),"",L35*Normy!$E$11)</f>
        <v/>
      </c>
      <c r="M36" s="4">
        <f>IF(OR(M35="",Normy!$E$11=""),"",M35*Normy!$E$11)</f>
        <v/>
      </c>
      <c r="N36" s="4">
        <f>IF(OR(N35="",Normy!$E$11=""),"",N35*Normy!$E$11)</f>
        <v/>
      </c>
      <c r="O36" s="4">
        <f>IF(OR(O35="",Normy!$E$11=""),"",O35*Normy!$E$11)</f>
        <v/>
      </c>
      <c r="P36" s="4">
        <f>IF(OR(P35="",Normy!$E$11=""),"",P35*Normy!$E$11)</f>
        <v/>
      </c>
      <c r="Q36" s="4">
        <f>IF(OR(Q35="",Normy!$E$11=""),"",Q35*Normy!$E$11)</f>
        <v/>
      </c>
      <c r="R36" s="4">
        <f>IF(OR(R35="",Normy!$E$11=""),"",R35*Normy!$E$11)</f>
        <v/>
      </c>
      <c r="S36" s="4">
        <f>IF(OR(S35="",Normy!$E$11=""),"",S35*Normy!$E$11)</f>
        <v/>
      </c>
      <c r="T36" s="4">
        <f>IF(OR(T35="",Normy!$E$11=""),"",T35*Normy!$E$11)</f>
        <v/>
      </c>
      <c r="U36" s="4">
        <f>IF(OR(U35="",Normy!$E$11=""),"",U35*Normy!$E$11)</f>
        <v/>
      </c>
      <c r="V36" s="4">
        <f>IF(OR(V35="",Normy!$E$11=""),"",V35*Normy!$E$11)</f>
        <v/>
      </c>
      <c r="W36" s="4">
        <f>IF(OR(W35="",Normy!$E$11=""),"",W35*Normy!$E$11)</f>
        <v/>
      </c>
      <c r="X36" s="4">
        <f>IF(OR(X35="",Normy!$E$11=""),"",X35*Normy!$E$11)</f>
        <v/>
      </c>
      <c r="Y36" s="4">
        <f>IF(OR(Y35="",Normy!$E$11=""),"",Y35*Normy!$E$11)</f>
        <v/>
      </c>
      <c r="Z36" s="4">
        <f>IF(OR(Z35="",Normy!$E$11=""),"",Z35*Normy!$E$11)</f>
        <v/>
      </c>
      <c r="AA36" s="4">
        <f>IF(OR(AA35="",Normy!$E$11=""),"",AA35*Normy!$E$11)</f>
        <v/>
      </c>
      <c r="AB36" s="4">
        <f>IF(OR(AB35="",Normy!$E$11=""),"",AB35*Normy!$E$11)</f>
        <v/>
      </c>
      <c r="AC36" s="4">
        <f>IF(OR(AC35="",Normy!$E$11=""),"",AC35*Normy!$E$11)</f>
        <v/>
      </c>
      <c r="AD36" s="4">
        <f>IF(OR(AD35="",Normy!$E$11=""),"",AD35*Normy!$E$11)</f>
        <v/>
      </c>
      <c r="AE36" s="4">
        <f>IF(OR(AE35="",Normy!$E$11=""),"",AE35*Normy!$E$11)</f>
        <v/>
      </c>
      <c r="AF36" s="4">
        <f>IF(OR(AF35="",Normy!$E$11=""),"",AF35*Normy!$E$11)</f>
        <v/>
      </c>
      <c r="AG36" s="4">
        <f>IF(OR(AG35="",Normy!$E$11=""),"",AG35*Normy!$E$11)</f>
        <v/>
      </c>
      <c r="AH36" s="4">
        <f>IF(OR(AH35="",Normy!$E$11=""),"",AH35*Normy!$E$11)</f>
        <v/>
      </c>
      <c r="AI36" s="4">
        <f>IF(OR(AI35="",Normy!$E$11=""),"",AI35*Normy!$E$11)</f>
        <v/>
      </c>
      <c r="AJ36" s="4">
        <f>IF(OR(AJ35="",Normy!$E$11=""),"",AJ35*Normy!$E$11)</f>
        <v/>
      </c>
      <c r="AK36" s="4">
        <f>IF(OR(AK35="",Normy!$E$11=""),"",AK35*Normy!$E$11)</f>
        <v/>
      </c>
      <c r="AL36" s="4">
        <f>IF(OR(AL35="",Normy!$E$11=""),"",AL35*Normy!$E$11)</f>
        <v/>
      </c>
      <c r="AM36" s="4">
        <f>IF(OR(AM35="",Normy!$E$11=""),"",AM35*Normy!$E$11)</f>
        <v/>
      </c>
      <c r="AN36" s="4">
        <f>IF(OR(AN35="",Normy!$E$11=""),"",AN35*Normy!$E$11)</f>
        <v/>
      </c>
      <c r="AO36" s="4">
        <f>IF(OR(AO35="",Normy!$E$11=""),"",AO35*Normy!$E$11)</f>
        <v/>
      </c>
      <c r="AP36" s="4">
        <f>IF(OR(AP35="",Normy!$E$11=""),"",AP35*Normy!$E$11)</f>
        <v/>
      </c>
      <c r="AQ36" s="4">
        <f>IF(OR(AQ35="",Normy!$E$11=""),"",AQ35*Normy!$E$11)</f>
        <v/>
      </c>
      <c r="AR36" s="4">
        <f>IF(OR(AR35="",Normy!$E$11=""),"",AR35*Normy!$E$11)</f>
        <v/>
      </c>
      <c r="AS36" s="4">
        <f>IF(OR(AS35="",Normy!$E$11=""),"",AS35*Normy!$E$11)</f>
        <v/>
      </c>
      <c r="AT36" s="4">
        <f>IF(OR(AT35="",Normy!$E$11=""),"",AT35*Normy!$E$11)</f>
        <v/>
      </c>
      <c r="AU36" s="4">
        <f>IF(OR(AU35="",Normy!$E$11=""),"",AU35*Normy!$E$11)</f>
        <v/>
      </c>
      <c r="AV36" s="4">
        <f>IF(OR(AV35="",Normy!$E$11=""),"",AV35*Normy!$E$11)</f>
        <v/>
      </c>
      <c r="AW36" s="4">
        <f>IF(OR(AW35="",Normy!$E$11=""),"",AW35*Normy!$E$11)</f>
        <v/>
      </c>
      <c r="AX36" s="4">
        <f>IF(OR(AX35="",Normy!$E$11=""),"",AX35*Normy!$E$11)</f>
        <v/>
      </c>
      <c r="AY36" s="4">
        <f>IF(OR(AY35="",Normy!$E$11=""),"",AY35*Normy!$E$11)</f>
        <v/>
      </c>
      <c r="AZ36" s="4">
        <f>IF(OR(AZ35="",Normy!$E$11=""),"",AZ35*Normy!$E$11)</f>
        <v/>
      </c>
      <c r="BA36" s="4">
        <f>IF(OR(BA35="",Normy!$E$11=""),"",BA35*Normy!$E$11)</f>
        <v/>
      </c>
      <c r="BB36" s="4">
        <f>IF(OR(BB35="",Normy!$E$11=""),"",BB35*Normy!$E$11)</f>
        <v/>
      </c>
      <c r="BC36" s="4">
        <f>IF(OR(BC35="",Normy!$E$11=""),"",BC35*Normy!$E$11)</f>
        <v/>
      </c>
      <c r="BD36" s="4">
        <f>IF(OR(BD35="",Normy!$E$11=""),"",BD35*Normy!$E$11)</f>
        <v/>
      </c>
      <c r="BE36" s="4">
        <f>IF(OR(BE35="",Normy!$E$11=""),"",BE35*Normy!$E$11)</f>
        <v/>
      </c>
      <c r="BF36" s="4">
        <f>IF(OR(BF35="",Normy!$E$11=""),"",BF35*Normy!$E$11)</f>
        <v/>
      </c>
      <c r="BG36" s="4">
        <f>IF(OR(BG35="",Normy!$E$11=""),"",BG35*Normy!$E$11)</f>
        <v/>
      </c>
      <c r="BH36" s="4">
        <f>IF(OR(BH35="",Normy!$E$11=""),"",BH35*Normy!$E$11)</f>
        <v/>
      </c>
      <c r="BI36" s="4">
        <f>IF(OR(BI35="",Normy!$E$11=""),"",BI35*Normy!$E$11)</f>
        <v/>
      </c>
      <c r="BJ36" s="4">
        <f>IF(OR(BJ35="",Normy!$E$11=""),"",BJ35*Normy!$E$11)</f>
        <v/>
      </c>
      <c r="BK36" s="4">
        <f>IF(OR(BK35="",Normy!$E$11=""),"",BK35*Normy!$E$11)</f>
        <v/>
      </c>
      <c r="BL36" s="4">
        <f>IF(OR(BL35="",Normy!$E$11=""),"",BL35*Normy!$E$11)</f>
        <v/>
      </c>
      <c r="BM36" s="4">
        <f>IF(OR(BM35="",Normy!$E$11=""),"",BM35*Normy!$E$11)</f>
        <v/>
      </c>
    </row>
    <row r="37">
      <c r="A37" s="19" t="n"/>
      <c r="B37" s="4" t="inlineStr">
        <is>
          <t>Potřeba FTE DL</t>
        </is>
      </c>
      <c r="C37" s="4">
        <f>IF(C36="","",ROUND(C36*Parametry!$B$6/(Parametry!$B$4*(1-Parametry!$B$5)),1))</f>
        <v/>
      </c>
      <c r="D37" s="4">
        <f>IF(D36="","",ROUND(D36*Parametry!$B$6/(Parametry!$B$4*(1-Parametry!$B$5)),1))</f>
        <v/>
      </c>
      <c r="E37" s="4">
        <f>IF(E36="","",ROUND(E36*Parametry!$B$6/(Parametry!$B$4*(1-Parametry!$B$5)),1))</f>
        <v/>
      </c>
      <c r="F37" s="4">
        <f>IF(F36="","",ROUND(F36*Parametry!$B$6/(Parametry!$B$4*(1-Parametry!$B$5)),1))</f>
        <v/>
      </c>
      <c r="G37" s="4">
        <f>IF(G36="","",ROUND(G36*Parametry!$B$6/(Parametry!$B$4*(1-Parametry!$B$5)),1))</f>
        <v/>
      </c>
      <c r="H37" s="4">
        <f>IF(H36="","",ROUND(H36*Parametry!$B$6/(Parametry!$B$4*(1-Parametry!$B$5)),1))</f>
        <v/>
      </c>
      <c r="I37" s="4">
        <f>IF(I36="","",ROUND(I36*Parametry!$B$6/(Parametry!$B$4*(1-Parametry!$B$5)),1))</f>
        <v/>
      </c>
      <c r="J37" s="4">
        <f>IF(J36="","",ROUND(J36*Parametry!$B$6/(Parametry!$B$4*(1-Parametry!$B$5)),1))</f>
        <v/>
      </c>
      <c r="K37" s="4">
        <f>IF(K36="","",ROUND(K36*Parametry!$B$6/(Parametry!$B$4*(1-Parametry!$B$5)),1))</f>
        <v/>
      </c>
      <c r="L37" s="4">
        <f>IF(L36="","",ROUND(L36*Parametry!$B$6/(Parametry!$B$4*(1-Parametry!$B$5)),1))</f>
        <v/>
      </c>
      <c r="M37" s="4">
        <f>IF(M36="","",ROUND(M36*Parametry!$B$6/(Parametry!$B$4*(1-Parametry!$B$5)),1))</f>
        <v/>
      </c>
      <c r="N37" s="4">
        <f>IF(N36="","",ROUND(N36*Parametry!$B$6/(Parametry!$B$4*(1-Parametry!$B$5)),1))</f>
        <v/>
      </c>
      <c r="O37" s="4">
        <f>IF(O36="","",ROUND(O36*Parametry!$B$6/(Parametry!$B$4*(1-Parametry!$B$5)),1))</f>
        <v/>
      </c>
      <c r="P37" s="4">
        <f>IF(P36="","",ROUND(P36*Parametry!$B$6/(Parametry!$B$4*(1-Parametry!$B$5)),1))</f>
        <v/>
      </c>
      <c r="Q37" s="4">
        <f>IF(Q36="","",ROUND(Q36*Parametry!$B$6/(Parametry!$B$4*(1-Parametry!$B$5)),1))</f>
        <v/>
      </c>
      <c r="R37" s="4">
        <f>IF(R36="","",ROUND(R36*Parametry!$B$6/(Parametry!$B$4*(1-Parametry!$B$5)),1))</f>
        <v/>
      </c>
      <c r="S37" s="4">
        <f>IF(S36="","",ROUND(S36*Parametry!$B$6/(Parametry!$B$4*(1-Parametry!$B$5)),1))</f>
        <v/>
      </c>
      <c r="T37" s="4">
        <f>IF(T36="","",ROUND(T36*Parametry!$B$6/(Parametry!$B$4*(1-Parametry!$B$5)),1))</f>
        <v/>
      </c>
      <c r="U37" s="4">
        <f>IF(U36="","",ROUND(U36*Parametry!$B$6/(Parametry!$B$4*(1-Parametry!$B$5)),1))</f>
        <v/>
      </c>
      <c r="V37" s="4">
        <f>IF(V36="","",ROUND(V36*Parametry!$B$6/(Parametry!$B$4*(1-Parametry!$B$5)),1))</f>
        <v/>
      </c>
      <c r="W37" s="4">
        <f>IF(W36="","",ROUND(W36*Parametry!$B$6/(Parametry!$B$4*(1-Parametry!$B$5)),1))</f>
        <v/>
      </c>
      <c r="X37" s="4">
        <f>IF(X36="","",ROUND(X36*Parametry!$B$6/(Parametry!$B$4*(1-Parametry!$B$5)),1))</f>
        <v/>
      </c>
      <c r="Y37" s="4">
        <f>IF(Y36="","",ROUND(Y36*Parametry!$B$6/(Parametry!$B$4*(1-Parametry!$B$5)),1))</f>
        <v/>
      </c>
      <c r="Z37" s="4">
        <f>IF(Z36="","",ROUND(Z36*Parametry!$B$6/(Parametry!$B$4*(1-Parametry!$B$5)),1))</f>
        <v/>
      </c>
      <c r="AA37" s="4">
        <f>IF(AA36="","",ROUND(AA36*Parametry!$B$6/(Parametry!$B$4*(1-Parametry!$B$5)),1))</f>
        <v/>
      </c>
      <c r="AB37" s="4">
        <f>IF(AB36="","",ROUND(AB36*Parametry!$B$6/(Parametry!$B$4*(1-Parametry!$B$5)),1))</f>
        <v/>
      </c>
      <c r="AC37" s="4">
        <f>IF(AC36="","",ROUND(AC36*Parametry!$B$6/(Parametry!$B$4*(1-Parametry!$B$5)),1))</f>
        <v/>
      </c>
      <c r="AD37" s="4">
        <f>IF(AD36="","",ROUND(AD36*Parametry!$B$6/(Parametry!$B$4*(1-Parametry!$B$5)),1))</f>
        <v/>
      </c>
      <c r="AE37" s="4">
        <f>IF(AE36="","",ROUND(AE36*Parametry!$B$6/(Parametry!$B$4*(1-Parametry!$B$5)),1))</f>
        <v/>
      </c>
      <c r="AF37" s="4">
        <f>IF(AF36="","",ROUND(AF36*Parametry!$B$6/(Parametry!$B$4*(1-Parametry!$B$5)),1))</f>
        <v/>
      </c>
      <c r="AG37" s="4">
        <f>IF(AG36="","",ROUND(AG36*Parametry!$B$6/(Parametry!$B$4*(1-Parametry!$B$5)),1))</f>
        <v/>
      </c>
      <c r="AH37" s="4">
        <f>IF(AH36="","",ROUND(AH36*Parametry!$B$6/(Parametry!$B$4*(1-Parametry!$B$5)),1))</f>
        <v/>
      </c>
      <c r="AI37" s="4">
        <f>IF(AI36="","",ROUND(AI36*Parametry!$B$6/(Parametry!$B$4*(1-Parametry!$B$5)),1))</f>
        <v/>
      </c>
      <c r="AJ37" s="4">
        <f>IF(AJ36="","",ROUND(AJ36*Parametry!$B$6/(Parametry!$B$4*(1-Parametry!$B$5)),1))</f>
        <v/>
      </c>
      <c r="AK37" s="4">
        <f>IF(AK36="","",ROUND(AK36*Parametry!$B$6/(Parametry!$B$4*(1-Parametry!$B$5)),1))</f>
        <v/>
      </c>
      <c r="AL37" s="4">
        <f>IF(AL36="","",ROUND(AL36*Parametry!$B$6/(Parametry!$B$4*(1-Parametry!$B$5)),1))</f>
        <v/>
      </c>
      <c r="AM37" s="4">
        <f>IF(AM36="","",ROUND(AM36*Parametry!$B$6/(Parametry!$B$4*(1-Parametry!$B$5)),1))</f>
        <v/>
      </c>
      <c r="AN37" s="4">
        <f>IF(AN36="","",ROUND(AN36*Parametry!$B$6/(Parametry!$B$4*(1-Parametry!$B$5)),1))</f>
        <v/>
      </c>
      <c r="AO37" s="4">
        <f>IF(AO36="","",ROUND(AO36*Parametry!$B$6/(Parametry!$B$4*(1-Parametry!$B$5)),1))</f>
        <v/>
      </c>
      <c r="AP37" s="4">
        <f>IF(AP36="","",ROUND(AP36*Parametry!$B$6/(Parametry!$B$4*(1-Parametry!$B$5)),1))</f>
        <v/>
      </c>
      <c r="AQ37" s="4">
        <f>IF(AQ36="","",ROUND(AQ36*Parametry!$B$6/(Parametry!$B$4*(1-Parametry!$B$5)),1))</f>
        <v/>
      </c>
      <c r="AR37" s="4">
        <f>IF(AR36="","",ROUND(AR36*Parametry!$B$6/(Parametry!$B$4*(1-Parametry!$B$5)),1))</f>
        <v/>
      </c>
      <c r="AS37" s="4">
        <f>IF(AS36="","",ROUND(AS36*Parametry!$B$6/(Parametry!$B$4*(1-Parametry!$B$5)),1))</f>
        <v/>
      </c>
      <c r="AT37" s="4">
        <f>IF(AT36="","",ROUND(AT36*Parametry!$B$6/(Parametry!$B$4*(1-Parametry!$B$5)),1))</f>
        <v/>
      </c>
      <c r="AU37" s="4">
        <f>IF(AU36="","",ROUND(AU36*Parametry!$B$6/(Parametry!$B$4*(1-Parametry!$B$5)),1))</f>
        <v/>
      </c>
      <c r="AV37" s="4">
        <f>IF(AV36="","",ROUND(AV36*Parametry!$B$6/(Parametry!$B$4*(1-Parametry!$B$5)),1))</f>
        <v/>
      </c>
      <c r="AW37" s="4">
        <f>IF(AW36="","",ROUND(AW36*Parametry!$B$6/(Parametry!$B$4*(1-Parametry!$B$5)),1))</f>
        <v/>
      </c>
      <c r="AX37" s="4">
        <f>IF(AX36="","",ROUND(AX36*Parametry!$B$6/(Parametry!$B$4*(1-Parametry!$B$5)),1))</f>
        <v/>
      </c>
      <c r="AY37" s="4">
        <f>IF(AY36="","",ROUND(AY36*Parametry!$B$6/(Parametry!$B$4*(1-Parametry!$B$5)),1))</f>
        <v/>
      </c>
      <c r="AZ37" s="4">
        <f>IF(AZ36="","",ROUND(AZ36*Parametry!$B$6/(Parametry!$B$4*(1-Parametry!$B$5)),1))</f>
        <v/>
      </c>
      <c r="BA37" s="4">
        <f>IF(BA36="","",ROUND(BA36*Parametry!$B$6/(Parametry!$B$4*(1-Parametry!$B$5)),1))</f>
        <v/>
      </c>
      <c r="BB37" s="4">
        <f>IF(BB36="","",ROUND(BB36*Parametry!$B$6/(Parametry!$B$4*(1-Parametry!$B$5)),1))</f>
        <v/>
      </c>
      <c r="BC37" s="4">
        <f>IF(BC36="","",ROUND(BC36*Parametry!$B$6/(Parametry!$B$4*(1-Parametry!$B$5)),1))</f>
        <v/>
      </c>
      <c r="BD37" s="4">
        <f>IF(BD36="","",ROUND(BD36*Parametry!$B$6/(Parametry!$B$4*(1-Parametry!$B$5)),1))</f>
        <v/>
      </c>
      <c r="BE37" s="4">
        <f>IF(BE36="","",ROUND(BE36*Parametry!$B$6/(Parametry!$B$4*(1-Parametry!$B$5)),1))</f>
        <v/>
      </c>
      <c r="BF37" s="4">
        <f>IF(BF36="","",ROUND(BF36*Parametry!$B$6/(Parametry!$B$4*(1-Parametry!$B$5)),1))</f>
        <v/>
      </c>
      <c r="BG37" s="4">
        <f>IF(BG36="","",ROUND(BG36*Parametry!$B$6/(Parametry!$B$4*(1-Parametry!$B$5)),1))</f>
        <v/>
      </c>
      <c r="BH37" s="4">
        <f>IF(BH36="","",ROUND(BH36*Parametry!$B$6/(Parametry!$B$4*(1-Parametry!$B$5)),1))</f>
        <v/>
      </c>
      <c r="BI37" s="4">
        <f>IF(BI36="","",ROUND(BI36*Parametry!$B$6/(Parametry!$B$4*(1-Parametry!$B$5)),1))</f>
        <v/>
      </c>
      <c r="BJ37" s="4">
        <f>IF(BJ36="","",ROUND(BJ36*Parametry!$B$6/(Parametry!$B$4*(1-Parametry!$B$5)),1))</f>
        <v/>
      </c>
      <c r="BK37" s="4">
        <f>IF(BK36="","",ROUND(BK36*Parametry!$B$6/(Parametry!$B$4*(1-Parametry!$B$5)),1))</f>
        <v/>
      </c>
      <c r="BL37" s="4">
        <f>IF(BL36="","",ROUND(BL36*Parametry!$B$6/(Parametry!$B$4*(1-Parametry!$B$5)),1))</f>
        <v/>
      </c>
      <c r="BM37" s="4">
        <f>IF(BM36="","",ROUND(BM36*Parametry!$B$6/(Parametry!$B$4*(1-Parametry!$B$5)),1))</f>
        <v/>
      </c>
    </row>
    <row r="38">
      <c r="A38" s="19" t="n"/>
      <c r="B38" s="4" t="inlineStr">
        <is>
          <t>Skutečnost FTE</t>
        </is>
      </c>
      <c r="C38" s="20">
        <f>IF(Normy!$G$11="","",ROUND(Normy!$G$11*5*Parametry!$B$6/(Parametry!$B$4*(1-Parametry!$B$5)),1))</f>
        <v/>
      </c>
      <c r="D38" s="20">
        <f>IF(Normy!$G$11="","",ROUND(Normy!$G$11*5*Parametry!$B$6/(Parametry!$B$4*(1-Parametry!$B$5)),1))</f>
        <v/>
      </c>
      <c r="E38" s="20">
        <f>IF(Normy!$G$11="","",ROUND(Normy!$G$11*5*Parametry!$B$6/(Parametry!$B$4*(1-Parametry!$B$5)),1))</f>
        <v/>
      </c>
      <c r="F38" s="20">
        <f>IF(Normy!$G$11="","",ROUND(Normy!$G$11*5*Parametry!$B$6/(Parametry!$B$4*(1-Parametry!$B$5)),1))</f>
        <v/>
      </c>
      <c r="G38" s="20">
        <f>IF(Normy!$G$11="","",ROUND(Normy!$G$11*5*Parametry!$B$6/(Parametry!$B$4*(1-Parametry!$B$5)),1))</f>
        <v/>
      </c>
      <c r="H38" s="20">
        <f>IF(Normy!$G$11="","",ROUND(Normy!$G$11*5*Parametry!$B$6/(Parametry!$B$4*(1-Parametry!$B$5)),1))</f>
        <v/>
      </c>
      <c r="I38" s="20">
        <f>IF(Normy!$G$11="","",ROUND(Normy!$G$11*5*Parametry!$B$6/(Parametry!$B$4*(1-Parametry!$B$5)),1))</f>
        <v/>
      </c>
      <c r="J38" s="20">
        <f>IF(Normy!$G$11="","",ROUND(Normy!$G$11*5*Parametry!$B$6/(Parametry!$B$4*(1-Parametry!$B$5)),1))</f>
        <v/>
      </c>
      <c r="K38" s="20">
        <f>IF(Normy!$G$11="","",ROUND(Normy!$G$11*5*Parametry!$B$6/(Parametry!$B$4*(1-Parametry!$B$5)),1))</f>
        <v/>
      </c>
      <c r="L38" s="20">
        <f>IF(Normy!$G$11="","",ROUND(Normy!$G$11*5*Parametry!$B$6/(Parametry!$B$4*(1-Parametry!$B$5)),1))</f>
        <v/>
      </c>
      <c r="M38" s="20">
        <f>IF(Normy!$G$11="","",ROUND(Normy!$G$11*5*Parametry!$B$6/(Parametry!$B$4*(1-Parametry!$B$5)),1))</f>
        <v/>
      </c>
      <c r="N38" s="20">
        <f>IF(Normy!$G$11="","",ROUND(Normy!$G$11*5*Parametry!$B$6/(Parametry!$B$4*(1-Parametry!$B$5)),1))</f>
        <v/>
      </c>
      <c r="O38" s="20">
        <f>IF(Normy!$G$11="","",ROUND(Normy!$G$11*5*Parametry!$B$6/(Parametry!$B$4*(1-Parametry!$B$5)),1))</f>
        <v/>
      </c>
      <c r="P38" s="20">
        <f>IF(Normy!$G$11="","",ROUND(Normy!$G$11*5*Parametry!$B$6/(Parametry!$B$4*(1-Parametry!$B$5)),1))</f>
        <v/>
      </c>
      <c r="Q38" s="20">
        <f>IF(Normy!$G$11="","",ROUND(Normy!$G$11*5*Parametry!$B$6/(Parametry!$B$4*(1-Parametry!$B$5)),1))</f>
        <v/>
      </c>
      <c r="R38" s="20">
        <f>IF(Normy!$G$11="","",ROUND(Normy!$G$11*5*Parametry!$B$6/(Parametry!$B$4*(1-Parametry!$B$5)),1))</f>
        <v/>
      </c>
      <c r="S38" s="20">
        <f>IF(Normy!$G$11="","",ROUND(Normy!$G$11*5*Parametry!$B$6/(Parametry!$B$4*(1-Parametry!$B$5)),1))</f>
        <v/>
      </c>
      <c r="T38" s="20">
        <f>IF(Normy!$G$11="","",ROUND(Normy!$G$11*5*Parametry!$B$6/(Parametry!$B$4*(1-Parametry!$B$5)),1))</f>
        <v/>
      </c>
      <c r="U38" s="20">
        <f>IF(Normy!$G$11="","",ROUND(Normy!$G$11*5*Parametry!$B$6/(Parametry!$B$4*(1-Parametry!$B$5)),1))</f>
        <v/>
      </c>
      <c r="V38" s="20">
        <f>IF(Normy!$G$11="","",ROUND(Normy!$G$11*5*Parametry!$B$6/(Parametry!$B$4*(1-Parametry!$B$5)),1))</f>
        <v/>
      </c>
      <c r="W38" s="20">
        <f>IF(Normy!$G$11="","",ROUND(Normy!$G$11*5*Parametry!$B$6/(Parametry!$B$4*(1-Parametry!$B$5)),1))</f>
        <v/>
      </c>
      <c r="X38" s="20">
        <f>IF(Normy!$G$11="","",ROUND(Normy!$G$11*5*Parametry!$B$6/(Parametry!$B$4*(1-Parametry!$B$5)),1))</f>
        <v/>
      </c>
      <c r="Y38" s="20">
        <f>IF(Normy!$G$11="","",ROUND(Normy!$G$11*5*Parametry!$B$6/(Parametry!$B$4*(1-Parametry!$B$5)),1))</f>
        <v/>
      </c>
      <c r="Z38" s="20">
        <f>IF(Normy!$G$11="","",ROUND(Normy!$G$11*5*Parametry!$B$6/(Parametry!$B$4*(1-Parametry!$B$5)),1))</f>
        <v/>
      </c>
      <c r="AA38" s="20">
        <f>IF(Normy!$G$11="","",ROUND(Normy!$G$11*5*Parametry!$B$6/(Parametry!$B$4*(1-Parametry!$B$5)),1))</f>
        <v/>
      </c>
      <c r="AB38" s="20">
        <f>IF(Normy!$G$11="","",ROUND(Normy!$G$11*5*Parametry!$B$6/(Parametry!$B$4*(1-Parametry!$B$5)),1))</f>
        <v/>
      </c>
      <c r="AC38" s="20">
        <f>IF(Normy!$G$11="","",ROUND(Normy!$G$11*5*Parametry!$B$6/(Parametry!$B$4*(1-Parametry!$B$5)),1))</f>
        <v/>
      </c>
      <c r="AD38" s="20">
        <f>IF(Normy!$G$11="","",ROUND(Normy!$G$11*5*Parametry!$B$6/(Parametry!$B$4*(1-Parametry!$B$5)),1))</f>
        <v/>
      </c>
      <c r="AE38" s="20">
        <f>IF(Normy!$G$11="","",ROUND(Normy!$G$11*5*Parametry!$B$6/(Parametry!$B$4*(1-Parametry!$B$5)),1))</f>
        <v/>
      </c>
      <c r="AF38" s="20">
        <f>IF(Normy!$G$11="","",ROUND(Normy!$G$11*5*Parametry!$B$6/(Parametry!$B$4*(1-Parametry!$B$5)),1))</f>
        <v/>
      </c>
      <c r="AG38" s="20">
        <f>IF(Normy!$G$11="","",ROUND(Normy!$G$11*5*Parametry!$B$6/(Parametry!$B$4*(1-Parametry!$B$5)),1))</f>
        <v/>
      </c>
      <c r="AH38" s="20">
        <f>IF(Normy!$G$11="","",ROUND(Normy!$G$11*5*Parametry!$B$6/(Parametry!$B$4*(1-Parametry!$B$5)),1))</f>
        <v/>
      </c>
      <c r="AI38" s="20">
        <f>IF(Normy!$G$11="","",ROUND(Normy!$G$11*5*Parametry!$B$6/(Parametry!$B$4*(1-Parametry!$B$5)),1))</f>
        <v/>
      </c>
      <c r="AJ38" s="20">
        <f>IF(Normy!$G$11="","",ROUND(Normy!$G$11*5*Parametry!$B$6/(Parametry!$B$4*(1-Parametry!$B$5)),1))</f>
        <v/>
      </c>
      <c r="AK38" s="20">
        <f>IF(Normy!$G$11="","",ROUND(Normy!$G$11*5*Parametry!$B$6/(Parametry!$B$4*(1-Parametry!$B$5)),1))</f>
        <v/>
      </c>
      <c r="AL38" s="20">
        <f>IF(Normy!$G$11="","",ROUND(Normy!$G$11*5*Parametry!$B$6/(Parametry!$B$4*(1-Parametry!$B$5)),1))</f>
        <v/>
      </c>
      <c r="AM38" s="20">
        <f>IF(Normy!$G$11="","",ROUND(Normy!$G$11*5*Parametry!$B$6/(Parametry!$B$4*(1-Parametry!$B$5)),1))</f>
        <v/>
      </c>
      <c r="AN38" s="20">
        <f>IF(Normy!$G$11="","",ROUND(Normy!$G$11*5*Parametry!$B$6/(Parametry!$B$4*(1-Parametry!$B$5)),1))</f>
        <v/>
      </c>
      <c r="AO38" s="20">
        <f>IF(Normy!$G$11="","",ROUND(Normy!$G$11*5*Parametry!$B$6/(Parametry!$B$4*(1-Parametry!$B$5)),1))</f>
        <v/>
      </c>
      <c r="AP38" s="20">
        <f>IF(Normy!$G$11="","",ROUND(Normy!$G$11*5*Parametry!$B$6/(Parametry!$B$4*(1-Parametry!$B$5)),1))</f>
        <v/>
      </c>
      <c r="AQ38" s="20">
        <f>IF(Normy!$G$11="","",ROUND(Normy!$G$11*5*Parametry!$B$6/(Parametry!$B$4*(1-Parametry!$B$5)),1))</f>
        <v/>
      </c>
      <c r="AR38" s="20">
        <f>IF(Normy!$G$11="","",ROUND(Normy!$G$11*5*Parametry!$B$6/(Parametry!$B$4*(1-Parametry!$B$5)),1))</f>
        <v/>
      </c>
      <c r="AS38" s="20">
        <f>IF(Normy!$G$11="","",ROUND(Normy!$G$11*5*Parametry!$B$6/(Parametry!$B$4*(1-Parametry!$B$5)),1))</f>
        <v/>
      </c>
      <c r="AT38" s="20">
        <f>IF(Normy!$G$11="","",ROUND(Normy!$G$11*5*Parametry!$B$6/(Parametry!$B$4*(1-Parametry!$B$5)),1))</f>
        <v/>
      </c>
      <c r="AU38" s="20">
        <f>IF(Normy!$G$11="","",ROUND(Normy!$G$11*5*Parametry!$B$6/(Parametry!$B$4*(1-Parametry!$B$5)),1))</f>
        <v/>
      </c>
      <c r="AV38" s="20">
        <f>IF(Normy!$G$11="","",ROUND(Normy!$G$11*5*Parametry!$B$6/(Parametry!$B$4*(1-Parametry!$B$5)),1))</f>
        <v/>
      </c>
      <c r="AW38" s="20">
        <f>IF(Normy!$G$11="","",ROUND(Normy!$G$11*5*Parametry!$B$6/(Parametry!$B$4*(1-Parametry!$B$5)),1))</f>
        <v/>
      </c>
      <c r="AX38" s="20">
        <f>IF(Normy!$G$11="","",ROUND(Normy!$G$11*5*Parametry!$B$6/(Parametry!$B$4*(1-Parametry!$B$5)),1))</f>
        <v/>
      </c>
      <c r="AY38" s="20">
        <f>IF(Normy!$G$11="","",ROUND(Normy!$G$11*5*Parametry!$B$6/(Parametry!$B$4*(1-Parametry!$B$5)),1))</f>
        <v/>
      </c>
      <c r="AZ38" s="20">
        <f>IF(Normy!$G$11="","",ROUND(Normy!$G$11*5*Parametry!$B$6/(Parametry!$B$4*(1-Parametry!$B$5)),1))</f>
        <v/>
      </c>
      <c r="BA38" s="20">
        <f>IF(Normy!$G$11="","",ROUND(Normy!$G$11*5*Parametry!$B$6/(Parametry!$B$4*(1-Parametry!$B$5)),1))</f>
        <v/>
      </c>
      <c r="BB38" s="20">
        <f>IF(Normy!$G$11="","",ROUND(Normy!$G$11*5*Parametry!$B$6/(Parametry!$B$4*(1-Parametry!$B$5)),1))</f>
        <v/>
      </c>
      <c r="BC38" s="20">
        <f>IF(Normy!$G$11="","",ROUND(Normy!$G$11*5*Parametry!$B$6/(Parametry!$B$4*(1-Parametry!$B$5)),1))</f>
        <v/>
      </c>
      <c r="BD38" s="20">
        <f>IF(Normy!$G$11="","",ROUND(Normy!$G$11*5*Parametry!$B$6/(Parametry!$B$4*(1-Parametry!$B$5)),1))</f>
        <v/>
      </c>
      <c r="BE38" s="20">
        <f>IF(Normy!$G$11="","",ROUND(Normy!$G$11*5*Parametry!$B$6/(Parametry!$B$4*(1-Parametry!$B$5)),1))</f>
        <v/>
      </c>
      <c r="BF38" s="20">
        <f>IF(Normy!$G$11="","",ROUND(Normy!$G$11*5*Parametry!$B$6/(Parametry!$B$4*(1-Parametry!$B$5)),1))</f>
        <v/>
      </c>
      <c r="BG38" s="20">
        <f>IF(Normy!$G$11="","",ROUND(Normy!$G$11*5*Parametry!$B$6/(Parametry!$B$4*(1-Parametry!$B$5)),1))</f>
        <v/>
      </c>
      <c r="BH38" s="20">
        <f>IF(Normy!$G$11="","",ROUND(Normy!$G$11*5*Parametry!$B$6/(Parametry!$B$4*(1-Parametry!$B$5)),1))</f>
        <v/>
      </c>
      <c r="BI38" s="20">
        <f>IF(Normy!$G$11="","",ROUND(Normy!$G$11*5*Parametry!$B$6/(Parametry!$B$4*(1-Parametry!$B$5)),1))</f>
        <v/>
      </c>
      <c r="BJ38" s="20">
        <f>IF(Normy!$G$11="","",ROUND(Normy!$G$11*5*Parametry!$B$6/(Parametry!$B$4*(1-Parametry!$B$5)),1))</f>
        <v/>
      </c>
      <c r="BK38" s="20">
        <f>IF(Normy!$G$11="","",ROUND(Normy!$G$11*5*Parametry!$B$6/(Parametry!$B$4*(1-Parametry!$B$5)),1))</f>
        <v/>
      </c>
      <c r="BL38" s="20">
        <f>IF(Normy!$G$11="","",ROUND(Normy!$G$11*5*Parametry!$B$6/(Parametry!$B$4*(1-Parametry!$B$5)),1))</f>
        <v/>
      </c>
      <c r="BM38" s="20">
        <f>IF(Normy!$G$11="","",ROUND(Normy!$G$11*5*Parametry!$B$6/(Parametry!$B$4*(1-Parametry!$B$5)),1))</f>
        <v/>
      </c>
    </row>
    <row r="39">
      <c r="A39" s="19" t="n"/>
      <c r="B39" s="4" t="inlineStr">
        <is>
          <t>Gap FTE (skut. − potřeba)</t>
        </is>
      </c>
      <c r="C39" s="20">
        <f>IF(OR(C38="",C37=""),"",C38-C37)</f>
        <v/>
      </c>
      <c r="D39" s="20">
        <f>IF(OR(D38="",D37=""),"",D38-D37)</f>
        <v/>
      </c>
      <c r="E39" s="20">
        <f>IF(OR(E38="",E37=""),"",E38-E37)</f>
        <v/>
      </c>
      <c r="F39" s="20">
        <f>IF(OR(F38="",F37=""),"",F38-F37)</f>
        <v/>
      </c>
      <c r="G39" s="20">
        <f>IF(OR(G38="",G37=""),"",G38-G37)</f>
        <v/>
      </c>
      <c r="H39" s="20">
        <f>IF(OR(H38="",H37=""),"",H38-H37)</f>
        <v/>
      </c>
      <c r="I39" s="20">
        <f>IF(OR(I38="",I37=""),"",I38-I37)</f>
        <v/>
      </c>
      <c r="J39" s="20">
        <f>IF(OR(J38="",J37=""),"",J38-J37)</f>
        <v/>
      </c>
      <c r="K39" s="20">
        <f>IF(OR(K38="",K37=""),"",K38-K37)</f>
        <v/>
      </c>
      <c r="L39" s="20">
        <f>IF(OR(L38="",L37=""),"",L38-L37)</f>
        <v/>
      </c>
      <c r="M39" s="20">
        <f>IF(OR(M38="",M37=""),"",M38-M37)</f>
        <v/>
      </c>
      <c r="N39" s="20">
        <f>IF(OR(N38="",N37=""),"",N38-N37)</f>
        <v/>
      </c>
      <c r="O39" s="20">
        <f>IF(OR(O38="",O37=""),"",O38-O37)</f>
        <v/>
      </c>
      <c r="P39" s="20">
        <f>IF(OR(P38="",P37=""),"",P38-P37)</f>
        <v/>
      </c>
      <c r="Q39" s="20">
        <f>IF(OR(Q38="",Q37=""),"",Q38-Q37)</f>
        <v/>
      </c>
      <c r="R39" s="20">
        <f>IF(OR(R38="",R37=""),"",R38-R37)</f>
        <v/>
      </c>
      <c r="S39" s="20">
        <f>IF(OR(S38="",S37=""),"",S38-S37)</f>
        <v/>
      </c>
      <c r="T39" s="20">
        <f>IF(OR(T38="",T37=""),"",T38-T37)</f>
        <v/>
      </c>
      <c r="U39" s="20">
        <f>IF(OR(U38="",U37=""),"",U38-U37)</f>
        <v/>
      </c>
      <c r="V39" s="20">
        <f>IF(OR(V38="",V37=""),"",V38-V37)</f>
        <v/>
      </c>
      <c r="W39" s="20">
        <f>IF(OR(W38="",W37=""),"",W38-W37)</f>
        <v/>
      </c>
      <c r="X39" s="20">
        <f>IF(OR(X38="",X37=""),"",X38-X37)</f>
        <v/>
      </c>
      <c r="Y39" s="20">
        <f>IF(OR(Y38="",Y37=""),"",Y38-Y37)</f>
        <v/>
      </c>
      <c r="Z39" s="20">
        <f>IF(OR(Z38="",Z37=""),"",Z38-Z37)</f>
        <v/>
      </c>
      <c r="AA39" s="20">
        <f>IF(OR(AA38="",AA37=""),"",AA38-AA37)</f>
        <v/>
      </c>
      <c r="AB39" s="20">
        <f>IF(OR(AB38="",AB37=""),"",AB38-AB37)</f>
        <v/>
      </c>
      <c r="AC39" s="20">
        <f>IF(OR(AC38="",AC37=""),"",AC38-AC37)</f>
        <v/>
      </c>
      <c r="AD39" s="20">
        <f>IF(OR(AD38="",AD37=""),"",AD38-AD37)</f>
        <v/>
      </c>
      <c r="AE39" s="20">
        <f>IF(OR(AE38="",AE37=""),"",AE38-AE37)</f>
        <v/>
      </c>
      <c r="AF39" s="20">
        <f>IF(OR(AF38="",AF37=""),"",AF38-AF37)</f>
        <v/>
      </c>
      <c r="AG39" s="20">
        <f>IF(OR(AG38="",AG37=""),"",AG38-AG37)</f>
        <v/>
      </c>
      <c r="AH39" s="20">
        <f>IF(OR(AH38="",AH37=""),"",AH38-AH37)</f>
        <v/>
      </c>
      <c r="AI39" s="20">
        <f>IF(OR(AI38="",AI37=""),"",AI38-AI37)</f>
        <v/>
      </c>
      <c r="AJ39" s="20">
        <f>IF(OR(AJ38="",AJ37=""),"",AJ38-AJ37)</f>
        <v/>
      </c>
      <c r="AK39" s="20">
        <f>IF(OR(AK38="",AK37=""),"",AK38-AK37)</f>
        <v/>
      </c>
      <c r="AL39" s="20">
        <f>IF(OR(AL38="",AL37=""),"",AL38-AL37)</f>
        <v/>
      </c>
      <c r="AM39" s="20">
        <f>IF(OR(AM38="",AM37=""),"",AM38-AM37)</f>
        <v/>
      </c>
      <c r="AN39" s="20">
        <f>IF(OR(AN38="",AN37=""),"",AN38-AN37)</f>
        <v/>
      </c>
      <c r="AO39" s="20">
        <f>IF(OR(AO38="",AO37=""),"",AO38-AO37)</f>
        <v/>
      </c>
      <c r="AP39" s="20">
        <f>IF(OR(AP38="",AP37=""),"",AP38-AP37)</f>
        <v/>
      </c>
      <c r="AQ39" s="20">
        <f>IF(OR(AQ38="",AQ37=""),"",AQ38-AQ37)</f>
        <v/>
      </c>
      <c r="AR39" s="20">
        <f>IF(OR(AR38="",AR37=""),"",AR38-AR37)</f>
        <v/>
      </c>
      <c r="AS39" s="20">
        <f>IF(OR(AS38="",AS37=""),"",AS38-AS37)</f>
        <v/>
      </c>
      <c r="AT39" s="20">
        <f>IF(OR(AT38="",AT37=""),"",AT38-AT37)</f>
        <v/>
      </c>
      <c r="AU39" s="20">
        <f>IF(OR(AU38="",AU37=""),"",AU38-AU37)</f>
        <v/>
      </c>
      <c r="AV39" s="20">
        <f>IF(OR(AV38="",AV37=""),"",AV38-AV37)</f>
        <v/>
      </c>
      <c r="AW39" s="20">
        <f>IF(OR(AW38="",AW37=""),"",AW38-AW37)</f>
        <v/>
      </c>
      <c r="AX39" s="20">
        <f>IF(OR(AX38="",AX37=""),"",AX38-AX37)</f>
        <v/>
      </c>
      <c r="AY39" s="20">
        <f>IF(OR(AY38="",AY37=""),"",AY38-AY37)</f>
        <v/>
      </c>
      <c r="AZ39" s="20">
        <f>IF(OR(AZ38="",AZ37=""),"",AZ38-AZ37)</f>
        <v/>
      </c>
      <c r="BA39" s="20">
        <f>IF(OR(BA38="",BA37=""),"",BA38-BA37)</f>
        <v/>
      </c>
      <c r="BB39" s="20">
        <f>IF(OR(BB38="",BB37=""),"",BB38-BB37)</f>
        <v/>
      </c>
      <c r="BC39" s="20">
        <f>IF(OR(BC38="",BC37=""),"",BC38-BC37)</f>
        <v/>
      </c>
      <c r="BD39" s="20">
        <f>IF(OR(BD38="",BD37=""),"",BD38-BD37)</f>
        <v/>
      </c>
      <c r="BE39" s="20">
        <f>IF(OR(BE38="",BE37=""),"",BE38-BE37)</f>
        <v/>
      </c>
      <c r="BF39" s="20">
        <f>IF(OR(BF38="",BF37=""),"",BF38-BF37)</f>
        <v/>
      </c>
      <c r="BG39" s="20">
        <f>IF(OR(BG38="",BG37=""),"",BG38-BG37)</f>
        <v/>
      </c>
      <c r="BH39" s="20">
        <f>IF(OR(BH38="",BH37=""),"",BH38-BH37)</f>
        <v/>
      </c>
      <c r="BI39" s="20">
        <f>IF(OR(BI38="",BI37=""),"",BI38-BI37)</f>
        <v/>
      </c>
      <c r="BJ39" s="20">
        <f>IF(OR(BJ38="",BJ37=""),"",BJ38-BJ37)</f>
        <v/>
      </c>
      <c r="BK39" s="20">
        <f>IF(OR(BK38="",BK37=""),"",BK38-BK37)</f>
        <v/>
      </c>
      <c r="BL39" s="20">
        <f>IF(OR(BL38="",BL37=""),"",BL38-BL37)</f>
        <v/>
      </c>
      <c r="BM39" s="20">
        <f>IF(OR(BM38="",BM37=""),"",BM38-BM37)</f>
        <v/>
      </c>
    </row>
    <row r="40">
      <c r="A40" s="18" t="inlineStr">
        <is>
          <t>W177/W247 IP</t>
        </is>
      </c>
      <c r="B40" s="4" t="inlineStr">
        <is>
          <t>Potřebné směny (8h)</t>
        </is>
      </c>
      <c r="C40" s="4">
        <f>IF(OR(Normy!$C$12="",'Volume po lince'!B11=0),"",ROUNDUP('Volume po lince'!B11/(Normy!$C$12*IF(Normy!$D$12="",Parametry!$B$7,Normy!$D$12)),0))</f>
        <v/>
      </c>
      <c r="D40" s="4">
        <f>IF(OR(Normy!$C$12="",'Volume po lince'!C11=0),"",ROUNDUP('Volume po lince'!C11/(Normy!$C$12*IF(Normy!$D$12="",Parametry!$B$7,Normy!$D$12)),0))</f>
        <v/>
      </c>
      <c r="E40" s="4">
        <f>IF(OR(Normy!$C$12="",'Volume po lince'!D11=0),"",ROUNDUP('Volume po lince'!D11/(Normy!$C$12*IF(Normy!$D$12="",Parametry!$B$7,Normy!$D$12)),0))</f>
        <v/>
      </c>
      <c r="F40" s="4">
        <f>IF(OR(Normy!$C$12="",'Volume po lince'!E11=0),"",ROUNDUP('Volume po lince'!E11/(Normy!$C$12*IF(Normy!$D$12="",Parametry!$B$7,Normy!$D$12)),0))</f>
        <v/>
      </c>
      <c r="G40" s="4">
        <f>IF(OR(Normy!$C$12="",'Volume po lince'!F11=0),"",ROUNDUP('Volume po lince'!F11/(Normy!$C$12*IF(Normy!$D$12="",Parametry!$B$7,Normy!$D$12)),0))</f>
        <v/>
      </c>
      <c r="H40" s="4">
        <f>IF(OR(Normy!$C$12="",'Volume po lince'!G11=0),"",ROUNDUP('Volume po lince'!G11/(Normy!$C$12*IF(Normy!$D$12="",Parametry!$B$7,Normy!$D$12)),0))</f>
        <v/>
      </c>
      <c r="I40" s="4">
        <f>IF(OR(Normy!$C$12="",'Volume po lince'!H11=0),"",ROUNDUP('Volume po lince'!H11/(Normy!$C$12*IF(Normy!$D$12="",Parametry!$B$7,Normy!$D$12)),0))</f>
        <v/>
      </c>
      <c r="J40" s="4">
        <f>IF(OR(Normy!$C$12="",'Volume po lince'!I11=0),"",ROUNDUP('Volume po lince'!I11/(Normy!$C$12*IF(Normy!$D$12="",Parametry!$B$7,Normy!$D$12)),0))</f>
        <v/>
      </c>
      <c r="K40" s="4">
        <f>IF(OR(Normy!$C$12="",'Volume po lince'!J11=0),"",ROUNDUP('Volume po lince'!J11/(Normy!$C$12*IF(Normy!$D$12="",Parametry!$B$7,Normy!$D$12)),0))</f>
        <v/>
      </c>
      <c r="L40" s="4">
        <f>IF(OR(Normy!$C$12="",'Volume po lince'!K11=0),"",ROUNDUP('Volume po lince'!K11/(Normy!$C$12*IF(Normy!$D$12="",Parametry!$B$7,Normy!$D$12)),0))</f>
        <v/>
      </c>
      <c r="M40" s="4">
        <f>IF(OR(Normy!$C$12="",'Volume po lince'!L11=0),"",ROUNDUP('Volume po lince'!L11/(Normy!$C$12*IF(Normy!$D$12="",Parametry!$B$7,Normy!$D$12)),0))</f>
        <v/>
      </c>
      <c r="N40" s="4">
        <f>IF(OR(Normy!$C$12="",'Volume po lince'!M11=0),"",ROUNDUP('Volume po lince'!M11/(Normy!$C$12*IF(Normy!$D$12="",Parametry!$B$7,Normy!$D$12)),0))</f>
        <v/>
      </c>
      <c r="O40" s="4">
        <f>IF(OR(Normy!$C$12="",'Volume po lince'!N11=0),"",ROUNDUP('Volume po lince'!N11/(Normy!$C$12*IF(Normy!$D$12="",Parametry!$B$7,Normy!$D$12)),0))</f>
        <v/>
      </c>
      <c r="P40" s="4">
        <f>IF(OR(Normy!$C$12="",'Volume po lince'!O11=0),"",ROUNDUP('Volume po lince'!O11/(Normy!$C$12*IF(Normy!$D$12="",Parametry!$B$7,Normy!$D$12)),0))</f>
        <v/>
      </c>
      <c r="Q40" s="4">
        <f>IF(OR(Normy!$C$12="",'Volume po lince'!P11=0),"",ROUNDUP('Volume po lince'!P11/(Normy!$C$12*IF(Normy!$D$12="",Parametry!$B$7,Normy!$D$12)),0))</f>
        <v/>
      </c>
      <c r="R40" s="4">
        <f>IF(OR(Normy!$C$12="",'Volume po lince'!Q11=0),"",ROUNDUP('Volume po lince'!Q11/(Normy!$C$12*IF(Normy!$D$12="",Parametry!$B$7,Normy!$D$12)),0))</f>
        <v/>
      </c>
      <c r="S40" s="4">
        <f>IF(OR(Normy!$C$12="",'Volume po lince'!R11=0),"",ROUNDUP('Volume po lince'!R11/(Normy!$C$12*IF(Normy!$D$12="",Parametry!$B$7,Normy!$D$12)),0))</f>
        <v/>
      </c>
      <c r="T40" s="4">
        <f>IF(OR(Normy!$C$12="",'Volume po lince'!S11=0),"",ROUNDUP('Volume po lince'!S11/(Normy!$C$12*IF(Normy!$D$12="",Parametry!$B$7,Normy!$D$12)),0))</f>
        <v/>
      </c>
      <c r="U40" s="4">
        <f>IF(OR(Normy!$C$12="",'Volume po lince'!T11=0),"",ROUNDUP('Volume po lince'!T11/(Normy!$C$12*IF(Normy!$D$12="",Parametry!$B$7,Normy!$D$12)),0))</f>
        <v/>
      </c>
      <c r="V40" s="4">
        <f>IF(OR(Normy!$C$12="",'Volume po lince'!U11=0),"",ROUNDUP('Volume po lince'!U11/(Normy!$C$12*IF(Normy!$D$12="",Parametry!$B$7,Normy!$D$12)),0))</f>
        <v/>
      </c>
      <c r="W40" s="4">
        <f>IF(OR(Normy!$C$12="",'Volume po lince'!V11=0),"",ROUNDUP('Volume po lince'!V11/(Normy!$C$12*IF(Normy!$D$12="",Parametry!$B$7,Normy!$D$12)),0))</f>
        <v/>
      </c>
      <c r="X40" s="4">
        <f>IF(OR(Normy!$C$12="",'Volume po lince'!W11=0),"",ROUNDUP('Volume po lince'!W11/(Normy!$C$12*IF(Normy!$D$12="",Parametry!$B$7,Normy!$D$12)),0))</f>
        <v/>
      </c>
      <c r="Y40" s="4">
        <f>IF(OR(Normy!$C$12="",'Volume po lince'!X11=0),"",ROUNDUP('Volume po lince'!X11/(Normy!$C$12*IF(Normy!$D$12="",Parametry!$B$7,Normy!$D$12)),0))</f>
        <v/>
      </c>
      <c r="Z40" s="4">
        <f>IF(OR(Normy!$C$12="",'Volume po lince'!Y11=0),"",ROUNDUP('Volume po lince'!Y11/(Normy!$C$12*IF(Normy!$D$12="",Parametry!$B$7,Normy!$D$12)),0))</f>
        <v/>
      </c>
      <c r="AA40" s="4">
        <f>IF(OR(Normy!$C$12="",'Volume po lince'!Z11=0),"",ROUNDUP('Volume po lince'!Z11/(Normy!$C$12*IF(Normy!$D$12="",Parametry!$B$7,Normy!$D$12)),0))</f>
        <v/>
      </c>
      <c r="AB40" s="4">
        <f>IF(OR(Normy!$C$12="",'Volume po lince'!AA11=0),"",ROUNDUP('Volume po lince'!AA11/(Normy!$C$12*IF(Normy!$D$12="",Parametry!$B$7,Normy!$D$12)),0))</f>
        <v/>
      </c>
      <c r="AC40" s="4">
        <f>IF(OR(Normy!$C$12="",'Volume po lince'!AB11=0),"",ROUNDUP('Volume po lince'!AB11/(Normy!$C$12*IF(Normy!$D$12="",Parametry!$B$7,Normy!$D$12)),0))</f>
        <v/>
      </c>
      <c r="AD40" s="4">
        <f>IF(OR(Normy!$C$12="",'Volume po lince'!AC11=0),"",ROUNDUP('Volume po lince'!AC11/(Normy!$C$12*IF(Normy!$D$12="",Parametry!$B$7,Normy!$D$12)),0))</f>
        <v/>
      </c>
      <c r="AE40" s="4">
        <f>IF(OR(Normy!$C$12="",'Volume po lince'!AD11=0),"",ROUNDUP('Volume po lince'!AD11/(Normy!$C$12*IF(Normy!$D$12="",Parametry!$B$7,Normy!$D$12)),0))</f>
        <v/>
      </c>
      <c r="AF40" s="4">
        <f>IF(OR(Normy!$C$12="",'Volume po lince'!AE11=0),"",ROUNDUP('Volume po lince'!AE11/(Normy!$C$12*IF(Normy!$D$12="",Parametry!$B$7,Normy!$D$12)),0))</f>
        <v/>
      </c>
      <c r="AG40" s="4">
        <f>IF(OR(Normy!$C$12="",'Volume po lince'!AF11=0),"",ROUNDUP('Volume po lince'!AF11/(Normy!$C$12*IF(Normy!$D$12="",Parametry!$B$7,Normy!$D$12)),0))</f>
        <v/>
      </c>
      <c r="AH40" s="4">
        <f>IF(OR(Normy!$C$12="",'Volume po lince'!AG11=0),"",ROUNDUP('Volume po lince'!AG11/(Normy!$C$12*IF(Normy!$D$12="",Parametry!$B$7,Normy!$D$12)),0))</f>
        <v/>
      </c>
      <c r="AI40" s="4">
        <f>IF(OR(Normy!$C$12="",'Volume po lince'!AH11=0),"",ROUNDUP('Volume po lince'!AH11/(Normy!$C$12*IF(Normy!$D$12="",Parametry!$B$7,Normy!$D$12)),0))</f>
        <v/>
      </c>
      <c r="AJ40" s="4">
        <f>IF(OR(Normy!$C$12="",'Volume po lince'!AI11=0),"",ROUNDUP('Volume po lince'!AI11/(Normy!$C$12*IF(Normy!$D$12="",Parametry!$B$7,Normy!$D$12)),0))</f>
        <v/>
      </c>
      <c r="AK40" s="4">
        <f>IF(OR(Normy!$C$12="",'Volume po lince'!AJ11=0),"",ROUNDUP('Volume po lince'!AJ11/(Normy!$C$12*IF(Normy!$D$12="",Parametry!$B$7,Normy!$D$12)),0))</f>
        <v/>
      </c>
      <c r="AL40" s="4">
        <f>IF(OR(Normy!$C$12="",'Volume po lince'!AK11=0),"",ROUNDUP('Volume po lince'!AK11/(Normy!$C$12*IF(Normy!$D$12="",Parametry!$B$7,Normy!$D$12)),0))</f>
        <v/>
      </c>
      <c r="AM40" s="4">
        <f>IF(OR(Normy!$C$12="",'Volume po lince'!AL11=0),"",ROUNDUP('Volume po lince'!AL11/(Normy!$C$12*IF(Normy!$D$12="",Parametry!$B$7,Normy!$D$12)),0))</f>
        <v/>
      </c>
      <c r="AN40" s="4">
        <f>IF(OR(Normy!$C$12="",'Volume po lince'!AM11=0),"",ROUNDUP('Volume po lince'!AM11/(Normy!$C$12*IF(Normy!$D$12="",Parametry!$B$7,Normy!$D$12)),0))</f>
        <v/>
      </c>
      <c r="AO40" s="4">
        <f>IF(OR(Normy!$C$12="",'Volume po lince'!AN11=0),"",ROUNDUP('Volume po lince'!AN11/(Normy!$C$12*IF(Normy!$D$12="",Parametry!$B$7,Normy!$D$12)),0))</f>
        <v/>
      </c>
      <c r="AP40" s="4">
        <f>IF(OR(Normy!$C$12="",'Volume po lince'!AO11=0),"",ROUNDUP('Volume po lince'!AO11/(Normy!$C$12*IF(Normy!$D$12="",Parametry!$B$7,Normy!$D$12)),0))</f>
        <v/>
      </c>
      <c r="AQ40" s="4">
        <f>IF(OR(Normy!$C$12="",'Volume po lince'!AP11=0),"",ROUNDUP('Volume po lince'!AP11/(Normy!$C$12*IF(Normy!$D$12="",Parametry!$B$7,Normy!$D$12)),0))</f>
        <v/>
      </c>
      <c r="AR40" s="4">
        <f>IF(OR(Normy!$C$12="",'Volume po lince'!AQ11=0),"",ROUNDUP('Volume po lince'!AQ11/(Normy!$C$12*IF(Normy!$D$12="",Parametry!$B$7,Normy!$D$12)),0))</f>
        <v/>
      </c>
      <c r="AS40" s="4">
        <f>IF(OR(Normy!$C$12="",'Volume po lince'!AR11=0),"",ROUNDUP('Volume po lince'!AR11/(Normy!$C$12*IF(Normy!$D$12="",Parametry!$B$7,Normy!$D$12)),0))</f>
        <v/>
      </c>
      <c r="AT40" s="4">
        <f>IF(OR(Normy!$C$12="",'Volume po lince'!AS11=0),"",ROUNDUP('Volume po lince'!AS11/(Normy!$C$12*IF(Normy!$D$12="",Parametry!$B$7,Normy!$D$12)),0))</f>
        <v/>
      </c>
      <c r="AU40" s="4">
        <f>IF(OR(Normy!$C$12="",'Volume po lince'!AT11=0),"",ROUNDUP('Volume po lince'!AT11/(Normy!$C$12*IF(Normy!$D$12="",Parametry!$B$7,Normy!$D$12)),0))</f>
        <v/>
      </c>
      <c r="AV40" s="4">
        <f>IF(OR(Normy!$C$12="",'Volume po lince'!AU11=0),"",ROUNDUP('Volume po lince'!AU11/(Normy!$C$12*IF(Normy!$D$12="",Parametry!$B$7,Normy!$D$12)),0))</f>
        <v/>
      </c>
      <c r="AW40" s="4">
        <f>IF(OR(Normy!$C$12="",'Volume po lince'!AV11=0),"",ROUNDUP('Volume po lince'!AV11/(Normy!$C$12*IF(Normy!$D$12="",Parametry!$B$7,Normy!$D$12)),0))</f>
        <v/>
      </c>
      <c r="AX40" s="4">
        <f>IF(OR(Normy!$C$12="",'Volume po lince'!AW11=0),"",ROUNDUP('Volume po lince'!AW11/(Normy!$C$12*IF(Normy!$D$12="",Parametry!$B$7,Normy!$D$12)),0))</f>
        <v/>
      </c>
      <c r="AY40" s="4">
        <f>IF(OR(Normy!$C$12="",'Volume po lince'!AX11=0),"",ROUNDUP('Volume po lince'!AX11/(Normy!$C$12*IF(Normy!$D$12="",Parametry!$B$7,Normy!$D$12)),0))</f>
        <v/>
      </c>
      <c r="AZ40" s="4">
        <f>IF(OR(Normy!$C$12="",'Volume po lince'!AY11=0),"",ROUNDUP('Volume po lince'!AY11/(Normy!$C$12*IF(Normy!$D$12="",Parametry!$B$7,Normy!$D$12)),0))</f>
        <v/>
      </c>
      <c r="BA40" s="4">
        <f>IF(OR(Normy!$C$12="",'Volume po lince'!AZ11=0),"",ROUNDUP('Volume po lince'!AZ11/(Normy!$C$12*IF(Normy!$D$12="",Parametry!$B$7,Normy!$D$12)),0))</f>
        <v/>
      </c>
      <c r="BB40" s="4">
        <f>IF(OR(Normy!$C$12="",'Volume po lince'!BA11=0),"",ROUNDUP('Volume po lince'!BA11/(Normy!$C$12*IF(Normy!$D$12="",Parametry!$B$7,Normy!$D$12)),0))</f>
        <v/>
      </c>
      <c r="BC40" s="4">
        <f>IF(OR(Normy!$C$12="",'Volume po lince'!BB11=0),"",ROUNDUP('Volume po lince'!BB11/(Normy!$C$12*IF(Normy!$D$12="",Parametry!$B$7,Normy!$D$12)),0))</f>
        <v/>
      </c>
      <c r="BD40" s="4">
        <f>IF(OR(Normy!$C$12="",'Volume po lince'!BC11=0),"",ROUNDUP('Volume po lince'!BC11/(Normy!$C$12*IF(Normy!$D$12="",Parametry!$B$7,Normy!$D$12)),0))</f>
        <v/>
      </c>
      <c r="BE40" s="4">
        <f>IF(OR(Normy!$C$12="",'Volume po lince'!BD11=0),"",ROUNDUP('Volume po lince'!BD11/(Normy!$C$12*IF(Normy!$D$12="",Parametry!$B$7,Normy!$D$12)),0))</f>
        <v/>
      </c>
      <c r="BF40" s="4">
        <f>IF(OR(Normy!$C$12="",'Volume po lince'!BE11=0),"",ROUNDUP('Volume po lince'!BE11/(Normy!$C$12*IF(Normy!$D$12="",Parametry!$B$7,Normy!$D$12)),0))</f>
        <v/>
      </c>
      <c r="BG40" s="4">
        <f>IF(OR(Normy!$C$12="",'Volume po lince'!BF11=0),"",ROUNDUP('Volume po lince'!BF11/(Normy!$C$12*IF(Normy!$D$12="",Parametry!$B$7,Normy!$D$12)),0))</f>
        <v/>
      </c>
      <c r="BH40" s="4">
        <f>IF(OR(Normy!$C$12="",'Volume po lince'!BG11=0),"",ROUNDUP('Volume po lince'!BG11/(Normy!$C$12*IF(Normy!$D$12="",Parametry!$B$7,Normy!$D$12)),0))</f>
        <v/>
      </c>
      <c r="BI40" s="4">
        <f>IF(OR(Normy!$C$12="",'Volume po lince'!BH11=0),"",ROUNDUP('Volume po lince'!BH11/(Normy!$C$12*IF(Normy!$D$12="",Parametry!$B$7,Normy!$D$12)),0))</f>
        <v/>
      </c>
      <c r="BJ40" s="4">
        <f>IF(OR(Normy!$C$12="",'Volume po lince'!BI11=0),"",ROUNDUP('Volume po lince'!BI11/(Normy!$C$12*IF(Normy!$D$12="",Parametry!$B$7,Normy!$D$12)),0))</f>
        <v/>
      </c>
      <c r="BK40" s="4">
        <f>IF(OR(Normy!$C$12="",'Volume po lince'!BJ11=0),"",ROUNDUP('Volume po lince'!BJ11/(Normy!$C$12*IF(Normy!$D$12="",Parametry!$B$7,Normy!$D$12)),0))</f>
        <v/>
      </c>
      <c r="BL40" s="4">
        <f>IF(OR(Normy!$C$12="",'Volume po lince'!BK11=0),"",ROUNDUP('Volume po lince'!BK11/(Normy!$C$12*IF(Normy!$D$12="",Parametry!$B$7,Normy!$D$12)),0))</f>
        <v/>
      </c>
      <c r="BM40" s="4">
        <f>IF(OR(Normy!$C$12="",'Volume po lince'!BL11=0),"",ROUNDUP('Volume po lince'!BL11/(Normy!$C$12*IF(Normy!$D$12="",Parametry!$B$7,Normy!$D$12)),0))</f>
        <v/>
      </c>
    </row>
    <row r="41">
      <c r="A41" s="19" t="n"/>
      <c r="B41" s="4" t="inlineStr">
        <is>
          <t>OP-směn</t>
        </is>
      </c>
      <c r="C41" s="4">
        <f>IF(OR(C40="",Normy!$E$12=""),"",C40*Normy!$E$12)</f>
        <v/>
      </c>
      <c r="D41" s="4">
        <f>IF(OR(D40="",Normy!$E$12=""),"",D40*Normy!$E$12)</f>
        <v/>
      </c>
      <c r="E41" s="4">
        <f>IF(OR(E40="",Normy!$E$12=""),"",E40*Normy!$E$12)</f>
        <v/>
      </c>
      <c r="F41" s="4">
        <f>IF(OR(F40="",Normy!$E$12=""),"",F40*Normy!$E$12)</f>
        <v/>
      </c>
      <c r="G41" s="4">
        <f>IF(OR(G40="",Normy!$E$12=""),"",G40*Normy!$E$12)</f>
        <v/>
      </c>
      <c r="H41" s="4">
        <f>IF(OR(H40="",Normy!$E$12=""),"",H40*Normy!$E$12)</f>
        <v/>
      </c>
      <c r="I41" s="4">
        <f>IF(OR(I40="",Normy!$E$12=""),"",I40*Normy!$E$12)</f>
        <v/>
      </c>
      <c r="J41" s="4">
        <f>IF(OR(J40="",Normy!$E$12=""),"",J40*Normy!$E$12)</f>
        <v/>
      </c>
      <c r="K41" s="4">
        <f>IF(OR(K40="",Normy!$E$12=""),"",K40*Normy!$E$12)</f>
        <v/>
      </c>
      <c r="L41" s="4">
        <f>IF(OR(L40="",Normy!$E$12=""),"",L40*Normy!$E$12)</f>
        <v/>
      </c>
      <c r="M41" s="4">
        <f>IF(OR(M40="",Normy!$E$12=""),"",M40*Normy!$E$12)</f>
        <v/>
      </c>
      <c r="N41" s="4">
        <f>IF(OR(N40="",Normy!$E$12=""),"",N40*Normy!$E$12)</f>
        <v/>
      </c>
      <c r="O41" s="4">
        <f>IF(OR(O40="",Normy!$E$12=""),"",O40*Normy!$E$12)</f>
        <v/>
      </c>
      <c r="P41" s="4">
        <f>IF(OR(P40="",Normy!$E$12=""),"",P40*Normy!$E$12)</f>
        <v/>
      </c>
      <c r="Q41" s="4">
        <f>IF(OR(Q40="",Normy!$E$12=""),"",Q40*Normy!$E$12)</f>
        <v/>
      </c>
      <c r="R41" s="4">
        <f>IF(OR(R40="",Normy!$E$12=""),"",R40*Normy!$E$12)</f>
        <v/>
      </c>
      <c r="S41" s="4">
        <f>IF(OR(S40="",Normy!$E$12=""),"",S40*Normy!$E$12)</f>
        <v/>
      </c>
      <c r="T41" s="4">
        <f>IF(OR(T40="",Normy!$E$12=""),"",T40*Normy!$E$12)</f>
        <v/>
      </c>
      <c r="U41" s="4">
        <f>IF(OR(U40="",Normy!$E$12=""),"",U40*Normy!$E$12)</f>
        <v/>
      </c>
      <c r="V41" s="4">
        <f>IF(OR(V40="",Normy!$E$12=""),"",V40*Normy!$E$12)</f>
        <v/>
      </c>
      <c r="W41" s="4">
        <f>IF(OR(W40="",Normy!$E$12=""),"",W40*Normy!$E$12)</f>
        <v/>
      </c>
      <c r="X41" s="4">
        <f>IF(OR(X40="",Normy!$E$12=""),"",X40*Normy!$E$12)</f>
        <v/>
      </c>
      <c r="Y41" s="4">
        <f>IF(OR(Y40="",Normy!$E$12=""),"",Y40*Normy!$E$12)</f>
        <v/>
      </c>
      <c r="Z41" s="4">
        <f>IF(OR(Z40="",Normy!$E$12=""),"",Z40*Normy!$E$12)</f>
        <v/>
      </c>
      <c r="AA41" s="4">
        <f>IF(OR(AA40="",Normy!$E$12=""),"",AA40*Normy!$E$12)</f>
        <v/>
      </c>
      <c r="AB41" s="4">
        <f>IF(OR(AB40="",Normy!$E$12=""),"",AB40*Normy!$E$12)</f>
        <v/>
      </c>
      <c r="AC41" s="4">
        <f>IF(OR(AC40="",Normy!$E$12=""),"",AC40*Normy!$E$12)</f>
        <v/>
      </c>
      <c r="AD41" s="4">
        <f>IF(OR(AD40="",Normy!$E$12=""),"",AD40*Normy!$E$12)</f>
        <v/>
      </c>
      <c r="AE41" s="4">
        <f>IF(OR(AE40="",Normy!$E$12=""),"",AE40*Normy!$E$12)</f>
        <v/>
      </c>
      <c r="AF41" s="4">
        <f>IF(OR(AF40="",Normy!$E$12=""),"",AF40*Normy!$E$12)</f>
        <v/>
      </c>
      <c r="AG41" s="4">
        <f>IF(OR(AG40="",Normy!$E$12=""),"",AG40*Normy!$E$12)</f>
        <v/>
      </c>
      <c r="AH41" s="4">
        <f>IF(OR(AH40="",Normy!$E$12=""),"",AH40*Normy!$E$12)</f>
        <v/>
      </c>
      <c r="AI41" s="4">
        <f>IF(OR(AI40="",Normy!$E$12=""),"",AI40*Normy!$E$12)</f>
        <v/>
      </c>
      <c r="AJ41" s="4">
        <f>IF(OR(AJ40="",Normy!$E$12=""),"",AJ40*Normy!$E$12)</f>
        <v/>
      </c>
      <c r="AK41" s="4">
        <f>IF(OR(AK40="",Normy!$E$12=""),"",AK40*Normy!$E$12)</f>
        <v/>
      </c>
      <c r="AL41" s="4">
        <f>IF(OR(AL40="",Normy!$E$12=""),"",AL40*Normy!$E$12)</f>
        <v/>
      </c>
      <c r="AM41" s="4">
        <f>IF(OR(AM40="",Normy!$E$12=""),"",AM40*Normy!$E$12)</f>
        <v/>
      </c>
      <c r="AN41" s="4">
        <f>IF(OR(AN40="",Normy!$E$12=""),"",AN40*Normy!$E$12)</f>
        <v/>
      </c>
      <c r="AO41" s="4">
        <f>IF(OR(AO40="",Normy!$E$12=""),"",AO40*Normy!$E$12)</f>
        <v/>
      </c>
      <c r="AP41" s="4">
        <f>IF(OR(AP40="",Normy!$E$12=""),"",AP40*Normy!$E$12)</f>
        <v/>
      </c>
      <c r="AQ41" s="4">
        <f>IF(OR(AQ40="",Normy!$E$12=""),"",AQ40*Normy!$E$12)</f>
        <v/>
      </c>
      <c r="AR41" s="4">
        <f>IF(OR(AR40="",Normy!$E$12=""),"",AR40*Normy!$E$12)</f>
        <v/>
      </c>
      <c r="AS41" s="4">
        <f>IF(OR(AS40="",Normy!$E$12=""),"",AS40*Normy!$E$12)</f>
        <v/>
      </c>
      <c r="AT41" s="4">
        <f>IF(OR(AT40="",Normy!$E$12=""),"",AT40*Normy!$E$12)</f>
        <v/>
      </c>
      <c r="AU41" s="4">
        <f>IF(OR(AU40="",Normy!$E$12=""),"",AU40*Normy!$E$12)</f>
        <v/>
      </c>
      <c r="AV41" s="4">
        <f>IF(OR(AV40="",Normy!$E$12=""),"",AV40*Normy!$E$12)</f>
        <v/>
      </c>
      <c r="AW41" s="4">
        <f>IF(OR(AW40="",Normy!$E$12=""),"",AW40*Normy!$E$12)</f>
        <v/>
      </c>
      <c r="AX41" s="4">
        <f>IF(OR(AX40="",Normy!$E$12=""),"",AX40*Normy!$E$12)</f>
        <v/>
      </c>
      <c r="AY41" s="4">
        <f>IF(OR(AY40="",Normy!$E$12=""),"",AY40*Normy!$E$12)</f>
        <v/>
      </c>
      <c r="AZ41" s="4">
        <f>IF(OR(AZ40="",Normy!$E$12=""),"",AZ40*Normy!$E$12)</f>
        <v/>
      </c>
      <c r="BA41" s="4">
        <f>IF(OR(BA40="",Normy!$E$12=""),"",BA40*Normy!$E$12)</f>
        <v/>
      </c>
      <c r="BB41" s="4">
        <f>IF(OR(BB40="",Normy!$E$12=""),"",BB40*Normy!$E$12)</f>
        <v/>
      </c>
      <c r="BC41" s="4">
        <f>IF(OR(BC40="",Normy!$E$12=""),"",BC40*Normy!$E$12)</f>
        <v/>
      </c>
      <c r="BD41" s="4">
        <f>IF(OR(BD40="",Normy!$E$12=""),"",BD40*Normy!$E$12)</f>
        <v/>
      </c>
      <c r="BE41" s="4">
        <f>IF(OR(BE40="",Normy!$E$12=""),"",BE40*Normy!$E$12)</f>
        <v/>
      </c>
      <c r="BF41" s="4">
        <f>IF(OR(BF40="",Normy!$E$12=""),"",BF40*Normy!$E$12)</f>
        <v/>
      </c>
      <c r="BG41" s="4">
        <f>IF(OR(BG40="",Normy!$E$12=""),"",BG40*Normy!$E$12)</f>
        <v/>
      </c>
      <c r="BH41" s="4">
        <f>IF(OR(BH40="",Normy!$E$12=""),"",BH40*Normy!$E$12)</f>
        <v/>
      </c>
      <c r="BI41" s="4">
        <f>IF(OR(BI40="",Normy!$E$12=""),"",BI40*Normy!$E$12)</f>
        <v/>
      </c>
      <c r="BJ41" s="4">
        <f>IF(OR(BJ40="",Normy!$E$12=""),"",BJ40*Normy!$E$12)</f>
        <v/>
      </c>
      <c r="BK41" s="4">
        <f>IF(OR(BK40="",Normy!$E$12=""),"",BK40*Normy!$E$12)</f>
        <v/>
      </c>
      <c r="BL41" s="4">
        <f>IF(OR(BL40="",Normy!$E$12=""),"",BL40*Normy!$E$12)</f>
        <v/>
      </c>
      <c r="BM41" s="4">
        <f>IF(OR(BM40="",Normy!$E$12=""),"",BM40*Normy!$E$12)</f>
        <v/>
      </c>
    </row>
    <row r="42">
      <c r="A42" s="19" t="n"/>
      <c r="B42" s="4" t="inlineStr">
        <is>
          <t>Potřeba FTE DL</t>
        </is>
      </c>
      <c r="C42" s="4">
        <f>IF(C41="","",ROUND(C41*Parametry!$B$6/(Parametry!$B$4*(1-Parametry!$B$5)),1))</f>
        <v/>
      </c>
      <c r="D42" s="4">
        <f>IF(D41="","",ROUND(D41*Parametry!$B$6/(Parametry!$B$4*(1-Parametry!$B$5)),1))</f>
        <v/>
      </c>
      <c r="E42" s="4">
        <f>IF(E41="","",ROUND(E41*Parametry!$B$6/(Parametry!$B$4*(1-Parametry!$B$5)),1))</f>
        <v/>
      </c>
      <c r="F42" s="4">
        <f>IF(F41="","",ROUND(F41*Parametry!$B$6/(Parametry!$B$4*(1-Parametry!$B$5)),1))</f>
        <v/>
      </c>
      <c r="G42" s="4">
        <f>IF(G41="","",ROUND(G41*Parametry!$B$6/(Parametry!$B$4*(1-Parametry!$B$5)),1))</f>
        <v/>
      </c>
      <c r="H42" s="4">
        <f>IF(H41="","",ROUND(H41*Parametry!$B$6/(Parametry!$B$4*(1-Parametry!$B$5)),1))</f>
        <v/>
      </c>
      <c r="I42" s="4">
        <f>IF(I41="","",ROUND(I41*Parametry!$B$6/(Parametry!$B$4*(1-Parametry!$B$5)),1))</f>
        <v/>
      </c>
      <c r="J42" s="4">
        <f>IF(J41="","",ROUND(J41*Parametry!$B$6/(Parametry!$B$4*(1-Parametry!$B$5)),1))</f>
        <v/>
      </c>
      <c r="K42" s="4">
        <f>IF(K41="","",ROUND(K41*Parametry!$B$6/(Parametry!$B$4*(1-Parametry!$B$5)),1))</f>
        <v/>
      </c>
      <c r="L42" s="4">
        <f>IF(L41="","",ROUND(L41*Parametry!$B$6/(Parametry!$B$4*(1-Parametry!$B$5)),1))</f>
        <v/>
      </c>
      <c r="M42" s="4">
        <f>IF(M41="","",ROUND(M41*Parametry!$B$6/(Parametry!$B$4*(1-Parametry!$B$5)),1))</f>
        <v/>
      </c>
      <c r="N42" s="4">
        <f>IF(N41="","",ROUND(N41*Parametry!$B$6/(Parametry!$B$4*(1-Parametry!$B$5)),1))</f>
        <v/>
      </c>
      <c r="O42" s="4">
        <f>IF(O41="","",ROUND(O41*Parametry!$B$6/(Parametry!$B$4*(1-Parametry!$B$5)),1))</f>
        <v/>
      </c>
      <c r="P42" s="4">
        <f>IF(P41="","",ROUND(P41*Parametry!$B$6/(Parametry!$B$4*(1-Parametry!$B$5)),1))</f>
        <v/>
      </c>
      <c r="Q42" s="4">
        <f>IF(Q41="","",ROUND(Q41*Parametry!$B$6/(Parametry!$B$4*(1-Parametry!$B$5)),1))</f>
        <v/>
      </c>
      <c r="R42" s="4">
        <f>IF(R41="","",ROUND(R41*Parametry!$B$6/(Parametry!$B$4*(1-Parametry!$B$5)),1))</f>
        <v/>
      </c>
      <c r="S42" s="4">
        <f>IF(S41="","",ROUND(S41*Parametry!$B$6/(Parametry!$B$4*(1-Parametry!$B$5)),1))</f>
        <v/>
      </c>
      <c r="T42" s="4">
        <f>IF(T41="","",ROUND(T41*Parametry!$B$6/(Parametry!$B$4*(1-Parametry!$B$5)),1))</f>
        <v/>
      </c>
      <c r="U42" s="4">
        <f>IF(U41="","",ROUND(U41*Parametry!$B$6/(Parametry!$B$4*(1-Parametry!$B$5)),1))</f>
        <v/>
      </c>
      <c r="V42" s="4">
        <f>IF(V41="","",ROUND(V41*Parametry!$B$6/(Parametry!$B$4*(1-Parametry!$B$5)),1))</f>
        <v/>
      </c>
      <c r="W42" s="4">
        <f>IF(W41="","",ROUND(W41*Parametry!$B$6/(Parametry!$B$4*(1-Parametry!$B$5)),1))</f>
        <v/>
      </c>
      <c r="X42" s="4">
        <f>IF(X41="","",ROUND(X41*Parametry!$B$6/(Parametry!$B$4*(1-Parametry!$B$5)),1))</f>
        <v/>
      </c>
      <c r="Y42" s="4">
        <f>IF(Y41="","",ROUND(Y41*Parametry!$B$6/(Parametry!$B$4*(1-Parametry!$B$5)),1))</f>
        <v/>
      </c>
      <c r="Z42" s="4">
        <f>IF(Z41="","",ROUND(Z41*Parametry!$B$6/(Parametry!$B$4*(1-Parametry!$B$5)),1))</f>
        <v/>
      </c>
      <c r="AA42" s="4">
        <f>IF(AA41="","",ROUND(AA41*Parametry!$B$6/(Parametry!$B$4*(1-Parametry!$B$5)),1))</f>
        <v/>
      </c>
      <c r="AB42" s="4">
        <f>IF(AB41="","",ROUND(AB41*Parametry!$B$6/(Parametry!$B$4*(1-Parametry!$B$5)),1))</f>
        <v/>
      </c>
      <c r="AC42" s="4">
        <f>IF(AC41="","",ROUND(AC41*Parametry!$B$6/(Parametry!$B$4*(1-Parametry!$B$5)),1))</f>
        <v/>
      </c>
      <c r="AD42" s="4">
        <f>IF(AD41="","",ROUND(AD41*Parametry!$B$6/(Parametry!$B$4*(1-Parametry!$B$5)),1))</f>
        <v/>
      </c>
      <c r="AE42" s="4">
        <f>IF(AE41="","",ROUND(AE41*Parametry!$B$6/(Parametry!$B$4*(1-Parametry!$B$5)),1))</f>
        <v/>
      </c>
      <c r="AF42" s="4">
        <f>IF(AF41="","",ROUND(AF41*Parametry!$B$6/(Parametry!$B$4*(1-Parametry!$B$5)),1))</f>
        <v/>
      </c>
      <c r="AG42" s="4">
        <f>IF(AG41="","",ROUND(AG41*Parametry!$B$6/(Parametry!$B$4*(1-Parametry!$B$5)),1))</f>
        <v/>
      </c>
      <c r="AH42" s="4">
        <f>IF(AH41="","",ROUND(AH41*Parametry!$B$6/(Parametry!$B$4*(1-Parametry!$B$5)),1))</f>
        <v/>
      </c>
      <c r="AI42" s="4">
        <f>IF(AI41="","",ROUND(AI41*Parametry!$B$6/(Parametry!$B$4*(1-Parametry!$B$5)),1))</f>
        <v/>
      </c>
      <c r="AJ42" s="4">
        <f>IF(AJ41="","",ROUND(AJ41*Parametry!$B$6/(Parametry!$B$4*(1-Parametry!$B$5)),1))</f>
        <v/>
      </c>
      <c r="AK42" s="4">
        <f>IF(AK41="","",ROUND(AK41*Parametry!$B$6/(Parametry!$B$4*(1-Parametry!$B$5)),1))</f>
        <v/>
      </c>
      <c r="AL42" s="4">
        <f>IF(AL41="","",ROUND(AL41*Parametry!$B$6/(Parametry!$B$4*(1-Parametry!$B$5)),1))</f>
        <v/>
      </c>
      <c r="AM42" s="4">
        <f>IF(AM41="","",ROUND(AM41*Parametry!$B$6/(Parametry!$B$4*(1-Parametry!$B$5)),1))</f>
        <v/>
      </c>
      <c r="AN42" s="4">
        <f>IF(AN41="","",ROUND(AN41*Parametry!$B$6/(Parametry!$B$4*(1-Parametry!$B$5)),1))</f>
        <v/>
      </c>
      <c r="AO42" s="4">
        <f>IF(AO41="","",ROUND(AO41*Parametry!$B$6/(Parametry!$B$4*(1-Parametry!$B$5)),1))</f>
        <v/>
      </c>
      <c r="AP42" s="4">
        <f>IF(AP41="","",ROUND(AP41*Parametry!$B$6/(Parametry!$B$4*(1-Parametry!$B$5)),1))</f>
        <v/>
      </c>
      <c r="AQ42" s="4">
        <f>IF(AQ41="","",ROUND(AQ41*Parametry!$B$6/(Parametry!$B$4*(1-Parametry!$B$5)),1))</f>
        <v/>
      </c>
      <c r="AR42" s="4">
        <f>IF(AR41="","",ROUND(AR41*Parametry!$B$6/(Parametry!$B$4*(1-Parametry!$B$5)),1))</f>
        <v/>
      </c>
      <c r="AS42" s="4">
        <f>IF(AS41="","",ROUND(AS41*Parametry!$B$6/(Parametry!$B$4*(1-Parametry!$B$5)),1))</f>
        <v/>
      </c>
      <c r="AT42" s="4">
        <f>IF(AT41="","",ROUND(AT41*Parametry!$B$6/(Parametry!$B$4*(1-Parametry!$B$5)),1))</f>
        <v/>
      </c>
      <c r="AU42" s="4">
        <f>IF(AU41="","",ROUND(AU41*Parametry!$B$6/(Parametry!$B$4*(1-Parametry!$B$5)),1))</f>
        <v/>
      </c>
      <c r="AV42" s="4">
        <f>IF(AV41="","",ROUND(AV41*Parametry!$B$6/(Parametry!$B$4*(1-Parametry!$B$5)),1))</f>
        <v/>
      </c>
      <c r="AW42" s="4">
        <f>IF(AW41="","",ROUND(AW41*Parametry!$B$6/(Parametry!$B$4*(1-Parametry!$B$5)),1))</f>
        <v/>
      </c>
      <c r="AX42" s="4">
        <f>IF(AX41="","",ROUND(AX41*Parametry!$B$6/(Parametry!$B$4*(1-Parametry!$B$5)),1))</f>
        <v/>
      </c>
      <c r="AY42" s="4">
        <f>IF(AY41="","",ROUND(AY41*Parametry!$B$6/(Parametry!$B$4*(1-Parametry!$B$5)),1))</f>
        <v/>
      </c>
      <c r="AZ42" s="4">
        <f>IF(AZ41="","",ROUND(AZ41*Parametry!$B$6/(Parametry!$B$4*(1-Parametry!$B$5)),1))</f>
        <v/>
      </c>
      <c r="BA42" s="4">
        <f>IF(BA41="","",ROUND(BA41*Parametry!$B$6/(Parametry!$B$4*(1-Parametry!$B$5)),1))</f>
        <v/>
      </c>
      <c r="BB42" s="4">
        <f>IF(BB41="","",ROUND(BB41*Parametry!$B$6/(Parametry!$B$4*(1-Parametry!$B$5)),1))</f>
        <v/>
      </c>
      <c r="BC42" s="4">
        <f>IF(BC41="","",ROUND(BC41*Parametry!$B$6/(Parametry!$B$4*(1-Parametry!$B$5)),1))</f>
        <v/>
      </c>
      <c r="BD42" s="4">
        <f>IF(BD41="","",ROUND(BD41*Parametry!$B$6/(Parametry!$B$4*(1-Parametry!$B$5)),1))</f>
        <v/>
      </c>
      <c r="BE42" s="4">
        <f>IF(BE41="","",ROUND(BE41*Parametry!$B$6/(Parametry!$B$4*(1-Parametry!$B$5)),1))</f>
        <v/>
      </c>
      <c r="BF42" s="4">
        <f>IF(BF41="","",ROUND(BF41*Parametry!$B$6/(Parametry!$B$4*(1-Parametry!$B$5)),1))</f>
        <v/>
      </c>
      <c r="BG42" s="4">
        <f>IF(BG41="","",ROUND(BG41*Parametry!$B$6/(Parametry!$B$4*(1-Parametry!$B$5)),1))</f>
        <v/>
      </c>
      <c r="BH42" s="4">
        <f>IF(BH41="","",ROUND(BH41*Parametry!$B$6/(Parametry!$B$4*(1-Parametry!$B$5)),1))</f>
        <v/>
      </c>
      <c r="BI42" s="4">
        <f>IF(BI41="","",ROUND(BI41*Parametry!$B$6/(Parametry!$B$4*(1-Parametry!$B$5)),1))</f>
        <v/>
      </c>
      <c r="BJ42" s="4">
        <f>IF(BJ41="","",ROUND(BJ41*Parametry!$B$6/(Parametry!$B$4*(1-Parametry!$B$5)),1))</f>
        <v/>
      </c>
      <c r="BK42" s="4">
        <f>IF(BK41="","",ROUND(BK41*Parametry!$B$6/(Parametry!$B$4*(1-Parametry!$B$5)),1))</f>
        <v/>
      </c>
      <c r="BL42" s="4">
        <f>IF(BL41="","",ROUND(BL41*Parametry!$B$6/(Parametry!$B$4*(1-Parametry!$B$5)),1))</f>
        <v/>
      </c>
      <c r="BM42" s="4">
        <f>IF(BM41="","",ROUND(BM41*Parametry!$B$6/(Parametry!$B$4*(1-Parametry!$B$5)),1))</f>
        <v/>
      </c>
    </row>
    <row r="43">
      <c r="A43" s="19" t="n"/>
      <c r="B43" s="4" t="inlineStr">
        <is>
          <t>Skutečnost FTE</t>
        </is>
      </c>
      <c r="C43" s="20">
        <f>IF(Normy!$G$12="","",ROUND(Normy!$G$12*5*Parametry!$B$6/(Parametry!$B$4*(1-Parametry!$B$5)),1))</f>
        <v/>
      </c>
      <c r="D43" s="20">
        <f>IF(Normy!$G$12="","",ROUND(Normy!$G$12*5*Parametry!$B$6/(Parametry!$B$4*(1-Parametry!$B$5)),1))</f>
        <v/>
      </c>
      <c r="E43" s="20">
        <f>IF(Normy!$G$12="","",ROUND(Normy!$G$12*5*Parametry!$B$6/(Parametry!$B$4*(1-Parametry!$B$5)),1))</f>
        <v/>
      </c>
      <c r="F43" s="20">
        <f>IF(Normy!$G$12="","",ROUND(Normy!$G$12*5*Parametry!$B$6/(Parametry!$B$4*(1-Parametry!$B$5)),1))</f>
        <v/>
      </c>
      <c r="G43" s="20">
        <f>IF(Normy!$G$12="","",ROUND(Normy!$G$12*5*Parametry!$B$6/(Parametry!$B$4*(1-Parametry!$B$5)),1))</f>
        <v/>
      </c>
      <c r="H43" s="20">
        <f>IF(Normy!$G$12="","",ROUND(Normy!$G$12*5*Parametry!$B$6/(Parametry!$B$4*(1-Parametry!$B$5)),1))</f>
        <v/>
      </c>
      <c r="I43" s="20">
        <f>IF(Normy!$G$12="","",ROUND(Normy!$G$12*5*Parametry!$B$6/(Parametry!$B$4*(1-Parametry!$B$5)),1))</f>
        <v/>
      </c>
      <c r="J43" s="20">
        <f>IF(Normy!$G$12="","",ROUND(Normy!$G$12*5*Parametry!$B$6/(Parametry!$B$4*(1-Parametry!$B$5)),1))</f>
        <v/>
      </c>
      <c r="K43" s="20">
        <f>IF(Normy!$G$12="","",ROUND(Normy!$G$12*5*Parametry!$B$6/(Parametry!$B$4*(1-Parametry!$B$5)),1))</f>
        <v/>
      </c>
      <c r="L43" s="20">
        <f>IF(Normy!$G$12="","",ROUND(Normy!$G$12*5*Parametry!$B$6/(Parametry!$B$4*(1-Parametry!$B$5)),1))</f>
        <v/>
      </c>
      <c r="M43" s="20">
        <f>IF(Normy!$G$12="","",ROUND(Normy!$G$12*5*Parametry!$B$6/(Parametry!$B$4*(1-Parametry!$B$5)),1))</f>
        <v/>
      </c>
      <c r="N43" s="20">
        <f>IF(Normy!$G$12="","",ROUND(Normy!$G$12*5*Parametry!$B$6/(Parametry!$B$4*(1-Parametry!$B$5)),1))</f>
        <v/>
      </c>
      <c r="O43" s="20">
        <f>IF(Normy!$G$12="","",ROUND(Normy!$G$12*5*Parametry!$B$6/(Parametry!$B$4*(1-Parametry!$B$5)),1))</f>
        <v/>
      </c>
      <c r="P43" s="20">
        <f>IF(Normy!$G$12="","",ROUND(Normy!$G$12*5*Parametry!$B$6/(Parametry!$B$4*(1-Parametry!$B$5)),1))</f>
        <v/>
      </c>
      <c r="Q43" s="20">
        <f>IF(Normy!$G$12="","",ROUND(Normy!$G$12*5*Parametry!$B$6/(Parametry!$B$4*(1-Parametry!$B$5)),1))</f>
        <v/>
      </c>
      <c r="R43" s="20">
        <f>IF(Normy!$G$12="","",ROUND(Normy!$G$12*5*Parametry!$B$6/(Parametry!$B$4*(1-Parametry!$B$5)),1))</f>
        <v/>
      </c>
      <c r="S43" s="20">
        <f>IF(Normy!$G$12="","",ROUND(Normy!$G$12*5*Parametry!$B$6/(Parametry!$B$4*(1-Parametry!$B$5)),1))</f>
        <v/>
      </c>
      <c r="T43" s="20">
        <f>IF(Normy!$G$12="","",ROUND(Normy!$G$12*5*Parametry!$B$6/(Parametry!$B$4*(1-Parametry!$B$5)),1))</f>
        <v/>
      </c>
      <c r="U43" s="20">
        <f>IF(Normy!$G$12="","",ROUND(Normy!$G$12*5*Parametry!$B$6/(Parametry!$B$4*(1-Parametry!$B$5)),1))</f>
        <v/>
      </c>
      <c r="V43" s="20">
        <f>IF(Normy!$G$12="","",ROUND(Normy!$G$12*5*Parametry!$B$6/(Parametry!$B$4*(1-Parametry!$B$5)),1))</f>
        <v/>
      </c>
      <c r="W43" s="20">
        <f>IF(Normy!$G$12="","",ROUND(Normy!$G$12*5*Parametry!$B$6/(Parametry!$B$4*(1-Parametry!$B$5)),1))</f>
        <v/>
      </c>
      <c r="X43" s="20">
        <f>IF(Normy!$G$12="","",ROUND(Normy!$G$12*5*Parametry!$B$6/(Parametry!$B$4*(1-Parametry!$B$5)),1))</f>
        <v/>
      </c>
      <c r="Y43" s="20">
        <f>IF(Normy!$G$12="","",ROUND(Normy!$G$12*5*Parametry!$B$6/(Parametry!$B$4*(1-Parametry!$B$5)),1))</f>
        <v/>
      </c>
      <c r="Z43" s="20">
        <f>IF(Normy!$G$12="","",ROUND(Normy!$G$12*5*Parametry!$B$6/(Parametry!$B$4*(1-Parametry!$B$5)),1))</f>
        <v/>
      </c>
      <c r="AA43" s="20">
        <f>IF(Normy!$G$12="","",ROUND(Normy!$G$12*5*Parametry!$B$6/(Parametry!$B$4*(1-Parametry!$B$5)),1))</f>
        <v/>
      </c>
      <c r="AB43" s="20">
        <f>IF(Normy!$G$12="","",ROUND(Normy!$G$12*5*Parametry!$B$6/(Parametry!$B$4*(1-Parametry!$B$5)),1))</f>
        <v/>
      </c>
      <c r="AC43" s="20">
        <f>IF(Normy!$G$12="","",ROUND(Normy!$G$12*5*Parametry!$B$6/(Parametry!$B$4*(1-Parametry!$B$5)),1))</f>
        <v/>
      </c>
      <c r="AD43" s="20">
        <f>IF(Normy!$G$12="","",ROUND(Normy!$G$12*5*Parametry!$B$6/(Parametry!$B$4*(1-Parametry!$B$5)),1))</f>
        <v/>
      </c>
      <c r="AE43" s="20">
        <f>IF(Normy!$G$12="","",ROUND(Normy!$G$12*5*Parametry!$B$6/(Parametry!$B$4*(1-Parametry!$B$5)),1))</f>
        <v/>
      </c>
      <c r="AF43" s="20">
        <f>IF(Normy!$G$12="","",ROUND(Normy!$G$12*5*Parametry!$B$6/(Parametry!$B$4*(1-Parametry!$B$5)),1))</f>
        <v/>
      </c>
      <c r="AG43" s="20">
        <f>IF(Normy!$G$12="","",ROUND(Normy!$G$12*5*Parametry!$B$6/(Parametry!$B$4*(1-Parametry!$B$5)),1))</f>
        <v/>
      </c>
      <c r="AH43" s="20">
        <f>IF(Normy!$G$12="","",ROUND(Normy!$G$12*5*Parametry!$B$6/(Parametry!$B$4*(1-Parametry!$B$5)),1))</f>
        <v/>
      </c>
      <c r="AI43" s="20">
        <f>IF(Normy!$G$12="","",ROUND(Normy!$G$12*5*Parametry!$B$6/(Parametry!$B$4*(1-Parametry!$B$5)),1))</f>
        <v/>
      </c>
      <c r="AJ43" s="20">
        <f>IF(Normy!$G$12="","",ROUND(Normy!$G$12*5*Parametry!$B$6/(Parametry!$B$4*(1-Parametry!$B$5)),1))</f>
        <v/>
      </c>
      <c r="AK43" s="20">
        <f>IF(Normy!$G$12="","",ROUND(Normy!$G$12*5*Parametry!$B$6/(Parametry!$B$4*(1-Parametry!$B$5)),1))</f>
        <v/>
      </c>
      <c r="AL43" s="20">
        <f>IF(Normy!$G$12="","",ROUND(Normy!$G$12*5*Parametry!$B$6/(Parametry!$B$4*(1-Parametry!$B$5)),1))</f>
        <v/>
      </c>
      <c r="AM43" s="20">
        <f>IF(Normy!$G$12="","",ROUND(Normy!$G$12*5*Parametry!$B$6/(Parametry!$B$4*(1-Parametry!$B$5)),1))</f>
        <v/>
      </c>
      <c r="AN43" s="20">
        <f>IF(Normy!$G$12="","",ROUND(Normy!$G$12*5*Parametry!$B$6/(Parametry!$B$4*(1-Parametry!$B$5)),1))</f>
        <v/>
      </c>
      <c r="AO43" s="20">
        <f>IF(Normy!$G$12="","",ROUND(Normy!$G$12*5*Parametry!$B$6/(Parametry!$B$4*(1-Parametry!$B$5)),1))</f>
        <v/>
      </c>
      <c r="AP43" s="20">
        <f>IF(Normy!$G$12="","",ROUND(Normy!$G$12*5*Parametry!$B$6/(Parametry!$B$4*(1-Parametry!$B$5)),1))</f>
        <v/>
      </c>
      <c r="AQ43" s="20">
        <f>IF(Normy!$G$12="","",ROUND(Normy!$G$12*5*Parametry!$B$6/(Parametry!$B$4*(1-Parametry!$B$5)),1))</f>
        <v/>
      </c>
      <c r="AR43" s="20">
        <f>IF(Normy!$G$12="","",ROUND(Normy!$G$12*5*Parametry!$B$6/(Parametry!$B$4*(1-Parametry!$B$5)),1))</f>
        <v/>
      </c>
      <c r="AS43" s="20">
        <f>IF(Normy!$G$12="","",ROUND(Normy!$G$12*5*Parametry!$B$6/(Parametry!$B$4*(1-Parametry!$B$5)),1))</f>
        <v/>
      </c>
      <c r="AT43" s="20">
        <f>IF(Normy!$G$12="","",ROUND(Normy!$G$12*5*Parametry!$B$6/(Parametry!$B$4*(1-Parametry!$B$5)),1))</f>
        <v/>
      </c>
      <c r="AU43" s="20">
        <f>IF(Normy!$G$12="","",ROUND(Normy!$G$12*5*Parametry!$B$6/(Parametry!$B$4*(1-Parametry!$B$5)),1))</f>
        <v/>
      </c>
      <c r="AV43" s="20">
        <f>IF(Normy!$G$12="","",ROUND(Normy!$G$12*5*Parametry!$B$6/(Parametry!$B$4*(1-Parametry!$B$5)),1))</f>
        <v/>
      </c>
      <c r="AW43" s="20">
        <f>IF(Normy!$G$12="","",ROUND(Normy!$G$12*5*Parametry!$B$6/(Parametry!$B$4*(1-Parametry!$B$5)),1))</f>
        <v/>
      </c>
      <c r="AX43" s="20">
        <f>IF(Normy!$G$12="","",ROUND(Normy!$G$12*5*Parametry!$B$6/(Parametry!$B$4*(1-Parametry!$B$5)),1))</f>
        <v/>
      </c>
      <c r="AY43" s="20">
        <f>IF(Normy!$G$12="","",ROUND(Normy!$G$12*5*Parametry!$B$6/(Parametry!$B$4*(1-Parametry!$B$5)),1))</f>
        <v/>
      </c>
      <c r="AZ43" s="20">
        <f>IF(Normy!$G$12="","",ROUND(Normy!$G$12*5*Parametry!$B$6/(Parametry!$B$4*(1-Parametry!$B$5)),1))</f>
        <v/>
      </c>
      <c r="BA43" s="20">
        <f>IF(Normy!$G$12="","",ROUND(Normy!$G$12*5*Parametry!$B$6/(Parametry!$B$4*(1-Parametry!$B$5)),1))</f>
        <v/>
      </c>
      <c r="BB43" s="20">
        <f>IF(Normy!$G$12="","",ROUND(Normy!$G$12*5*Parametry!$B$6/(Parametry!$B$4*(1-Parametry!$B$5)),1))</f>
        <v/>
      </c>
      <c r="BC43" s="20">
        <f>IF(Normy!$G$12="","",ROUND(Normy!$G$12*5*Parametry!$B$6/(Parametry!$B$4*(1-Parametry!$B$5)),1))</f>
        <v/>
      </c>
      <c r="BD43" s="20">
        <f>IF(Normy!$G$12="","",ROUND(Normy!$G$12*5*Parametry!$B$6/(Parametry!$B$4*(1-Parametry!$B$5)),1))</f>
        <v/>
      </c>
      <c r="BE43" s="20">
        <f>IF(Normy!$G$12="","",ROUND(Normy!$G$12*5*Parametry!$B$6/(Parametry!$B$4*(1-Parametry!$B$5)),1))</f>
        <v/>
      </c>
      <c r="BF43" s="20">
        <f>IF(Normy!$G$12="","",ROUND(Normy!$G$12*5*Parametry!$B$6/(Parametry!$B$4*(1-Parametry!$B$5)),1))</f>
        <v/>
      </c>
      <c r="BG43" s="20">
        <f>IF(Normy!$G$12="","",ROUND(Normy!$G$12*5*Parametry!$B$6/(Parametry!$B$4*(1-Parametry!$B$5)),1))</f>
        <v/>
      </c>
      <c r="BH43" s="20">
        <f>IF(Normy!$G$12="","",ROUND(Normy!$G$12*5*Parametry!$B$6/(Parametry!$B$4*(1-Parametry!$B$5)),1))</f>
        <v/>
      </c>
      <c r="BI43" s="20">
        <f>IF(Normy!$G$12="","",ROUND(Normy!$G$12*5*Parametry!$B$6/(Parametry!$B$4*(1-Parametry!$B$5)),1))</f>
        <v/>
      </c>
      <c r="BJ43" s="20">
        <f>IF(Normy!$G$12="","",ROUND(Normy!$G$12*5*Parametry!$B$6/(Parametry!$B$4*(1-Parametry!$B$5)),1))</f>
        <v/>
      </c>
      <c r="BK43" s="20">
        <f>IF(Normy!$G$12="","",ROUND(Normy!$G$12*5*Parametry!$B$6/(Parametry!$B$4*(1-Parametry!$B$5)),1))</f>
        <v/>
      </c>
      <c r="BL43" s="20">
        <f>IF(Normy!$G$12="","",ROUND(Normy!$G$12*5*Parametry!$B$6/(Parametry!$B$4*(1-Parametry!$B$5)),1))</f>
        <v/>
      </c>
      <c r="BM43" s="20">
        <f>IF(Normy!$G$12="","",ROUND(Normy!$G$12*5*Parametry!$B$6/(Parametry!$B$4*(1-Parametry!$B$5)),1))</f>
        <v/>
      </c>
    </row>
    <row r="44">
      <c r="A44" s="19" t="n"/>
      <c r="B44" s="4" t="inlineStr">
        <is>
          <t>Gap FTE (skut. − potřeba)</t>
        </is>
      </c>
      <c r="C44" s="20">
        <f>IF(OR(C43="",C42=""),"",C43-C42)</f>
        <v/>
      </c>
      <c r="D44" s="20">
        <f>IF(OR(D43="",D42=""),"",D43-D42)</f>
        <v/>
      </c>
      <c r="E44" s="20">
        <f>IF(OR(E43="",E42=""),"",E43-E42)</f>
        <v/>
      </c>
      <c r="F44" s="20">
        <f>IF(OR(F43="",F42=""),"",F43-F42)</f>
        <v/>
      </c>
      <c r="G44" s="20">
        <f>IF(OR(G43="",G42=""),"",G43-G42)</f>
        <v/>
      </c>
      <c r="H44" s="20">
        <f>IF(OR(H43="",H42=""),"",H43-H42)</f>
        <v/>
      </c>
      <c r="I44" s="20">
        <f>IF(OR(I43="",I42=""),"",I43-I42)</f>
        <v/>
      </c>
      <c r="J44" s="20">
        <f>IF(OR(J43="",J42=""),"",J43-J42)</f>
        <v/>
      </c>
      <c r="K44" s="20">
        <f>IF(OR(K43="",K42=""),"",K43-K42)</f>
        <v/>
      </c>
      <c r="L44" s="20">
        <f>IF(OR(L43="",L42=""),"",L43-L42)</f>
        <v/>
      </c>
      <c r="M44" s="20">
        <f>IF(OR(M43="",M42=""),"",M43-M42)</f>
        <v/>
      </c>
      <c r="N44" s="20">
        <f>IF(OR(N43="",N42=""),"",N43-N42)</f>
        <v/>
      </c>
      <c r="O44" s="20">
        <f>IF(OR(O43="",O42=""),"",O43-O42)</f>
        <v/>
      </c>
      <c r="P44" s="20">
        <f>IF(OR(P43="",P42=""),"",P43-P42)</f>
        <v/>
      </c>
      <c r="Q44" s="20">
        <f>IF(OR(Q43="",Q42=""),"",Q43-Q42)</f>
        <v/>
      </c>
      <c r="R44" s="20">
        <f>IF(OR(R43="",R42=""),"",R43-R42)</f>
        <v/>
      </c>
      <c r="S44" s="20">
        <f>IF(OR(S43="",S42=""),"",S43-S42)</f>
        <v/>
      </c>
      <c r="T44" s="20">
        <f>IF(OR(T43="",T42=""),"",T43-T42)</f>
        <v/>
      </c>
      <c r="U44" s="20">
        <f>IF(OR(U43="",U42=""),"",U43-U42)</f>
        <v/>
      </c>
      <c r="V44" s="20">
        <f>IF(OR(V43="",V42=""),"",V43-V42)</f>
        <v/>
      </c>
      <c r="W44" s="20">
        <f>IF(OR(W43="",W42=""),"",W43-W42)</f>
        <v/>
      </c>
      <c r="X44" s="20">
        <f>IF(OR(X43="",X42=""),"",X43-X42)</f>
        <v/>
      </c>
      <c r="Y44" s="20">
        <f>IF(OR(Y43="",Y42=""),"",Y43-Y42)</f>
        <v/>
      </c>
      <c r="Z44" s="20">
        <f>IF(OR(Z43="",Z42=""),"",Z43-Z42)</f>
        <v/>
      </c>
      <c r="AA44" s="20">
        <f>IF(OR(AA43="",AA42=""),"",AA43-AA42)</f>
        <v/>
      </c>
      <c r="AB44" s="20">
        <f>IF(OR(AB43="",AB42=""),"",AB43-AB42)</f>
        <v/>
      </c>
      <c r="AC44" s="20">
        <f>IF(OR(AC43="",AC42=""),"",AC43-AC42)</f>
        <v/>
      </c>
      <c r="AD44" s="20">
        <f>IF(OR(AD43="",AD42=""),"",AD43-AD42)</f>
        <v/>
      </c>
      <c r="AE44" s="20">
        <f>IF(OR(AE43="",AE42=""),"",AE43-AE42)</f>
        <v/>
      </c>
      <c r="AF44" s="20">
        <f>IF(OR(AF43="",AF42=""),"",AF43-AF42)</f>
        <v/>
      </c>
      <c r="AG44" s="20">
        <f>IF(OR(AG43="",AG42=""),"",AG43-AG42)</f>
        <v/>
      </c>
      <c r="AH44" s="20">
        <f>IF(OR(AH43="",AH42=""),"",AH43-AH42)</f>
        <v/>
      </c>
      <c r="AI44" s="20">
        <f>IF(OR(AI43="",AI42=""),"",AI43-AI42)</f>
        <v/>
      </c>
      <c r="AJ44" s="20">
        <f>IF(OR(AJ43="",AJ42=""),"",AJ43-AJ42)</f>
        <v/>
      </c>
      <c r="AK44" s="20">
        <f>IF(OR(AK43="",AK42=""),"",AK43-AK42)</f>
        <v/>
      </c>
      <c r="AL44" s="20">
        <f>IF(OR(AL43="",AL42=""),"",AL43-AL42)</f>
        <v/>
      </c>
      <c r="AM44" s="20">
        <f>IF(OR(AM43="",AM42=""),"",AM43-AM42)</f>
        <v/>
      </c>
      <c r="AN44" s="20">
        <f>IF(OR(AN43="",AN42=""),"",AN43-AN42)</f>
        <v/>
      </c>
      <c r="AO44" s="20">
        <f>IF(OR(AO43="",AO42=""),"",AO43-AO42)</f>
        <v/>
      </c>
      <c r="AP44" s="20">
        <f>IF(OR(AP43="",AP42=""),"",AP43-AP42)</f>
        <v/>
      </c>
      <c r="AQ44" s="20">
        <f>IF(OR(AQ43="",AQ42=""),"",AQ43-AQ42)</f>
        <v/>
      </c>
      <c r="AR44" s="20">
        <f>IF(OR(AR43="",AR42=""),"",AR43-AR42)</f>
        <v/>
      </c>
      <c r="AS44" s="20">
        <f>IF(OR(AS43="",AS42=""),"",AS43-AS42)</f>
        <v/>
      </c>
      <c r="AT44" s="20">
        <f>IF(OR(AT43="",AT42=""),"",AT43-AT42)</f>
        <v/>
      </c>
      <c r="AU44" s="20">
        <f>IF(OR(AU43="",AU42=""),"",AU43-AU42)</f>
        <v/>
      </c>
      <c r="AV44" s="20">
        <f>IF(OR(AV43="",AV42=""),"",AV43-AV42)</f>
        <v/>
      </c>
      <c r="AW44" s="20">
        <f>IF(OR(AW43="",AW42=""),"",AW43-AW42)</f>
        <v/>
      </c>
      <c r="AX44" s="20">
        <f>IF(OR(AX43="",AX42=""),"",AX43-AX42)</f>
        <v/>
      </c>
      <c r="AY44" s="20">
        <f>IF(OR(AY43="",AY42=""),"",AY43-AY42)</f>
        <v/>
      </c>
      <c r="AZ44" s="20">
        <f>IF(OR(AZ43="",AZ42=""),"",AZ43-AZ42)</f>
        <v/>
      </c>
      <c r="BA44" s="20">
        <f>IF(OR(BA43="",BA42=""),"",BA43-BA42)</f>
        <v/>
      </c>
      <c r="BB44" s="20">
        <f>IF(OR(BB43="",BB42=""),"",BB43-BB42)</f>
        <v/>
      </c>
      <c r="BC44" s="20">
        <f>IF(OR(BC43="",BC42=""),"",BC43-BC42)</f>
        <v/>
      </c>
      <c r="BD44" s="20">
        <f>IF(OR(BD43="",BD42=""),"",BD43-BD42)</f>
        <v/>
      </c>
      <c r="BE44" s="20">
        <f>IF(OR(BE43="",BE42=""),"",BE43-BE42)</f>
        <v/>
      </c>
      <c r="BF44" s="20">
        <f>IF(OR(BF43="",BF42=""),"",BF43-BF42)</f>
        <v/>
      </c>
      <c r="BG44" s="20">
        <f>IF(OR(BG43="",BG42=""),"",BG43-BG42)</f>
        <v/>
      </c>
      <c r="BH44" s="20">
        <f>IF(OR(BH43="",BH42=""),"",BH43-BH42)</f>
        <v/>
      </c>
      <c r="BI44" s="20">
        <f>IF(OR(BI43="",BI42=""),"",BI43-BI42)</f>
        <v/>
      </c>
      <c r="BJ44" s="20">
        <f>IF(OR(BJ43="",BJ42=""),"",BJ43-BJ42)</f>
        <v/>
      </c>
      <c r="BK44" s="20">
        <f>IF(OR(BK43="",BK42=""),"",BK43-BK42)</f>
        <v/>
      </c>
      <c r="BL44" s="20">
        <f>IF(OR(BL43="",BL42=""),"",BL43-BL42)</f>
        <v/>
      </c>
      <c r="BM44" s="20">
        <f>IF(OR(BM43="",BM42=""),"",BM43-BM42)</f>
        <v/>
      </c>
    </row>
    <row r="45">
      <c r="A45" s="18" t="inlineStr">
        <is>
          <t>W177 DP</t>
        </is>
      </c>
      <c r="B45" s="4" t="inlineStr">
        <is>
          <t>Potřebné směny (8h)</t>
        </is>
      </c>
      <c r="C45" s="4">
        <f>IF(OR(Normy!$C$13="",'Volume po lince'!B12=0),"",ROUNDUP('Volume po lince'!B12/(Normy!$C$13*IF(Normy!$D$13="",Parametry!$B$7,Normy!$D$13)),0))</f>
        <v/>
      </c>
      <c r="D45" s="4">
        <f>IF(OR(Normy!$C$13="",'Volume po lince'!C12=0),"",ROUNDUP('Volume po lince'!C12/(Normy!$C$13*IF(Normy!$D$13="",Parametry!$B$7,Normy!$D$13)),0))</f>
        <v/>
      </c>
      <c r="E45" s="4">
        <f>IF(OR(Normy!$C$13="",'Volume po lince'!D12=0),"",ROUNDUP('Volume po lince'!D12/(Normy!$C$13*IF(Normy!$D$13="",Parametry!$B$7,Normy!$D$13)),0))</f>
        <v/>
      </c>
      <c r="F45" s="4">
        <f>IF(OR(Normy!$C$13="",'Volume po lince'!E12=0),"",ROUNDUP('Volume po lince'!E12/(Normy!$C$13*IF(Normy!$D$13="",Parametry!$B$7,Normy!$D$13)),0))</f>
        <v/>
      </c>
      <c r="G45" s="4">
        <f>IF(OR(Normy!$C$13="",'Volume po lince'!F12=0),"",ROUNDUP('Volume po lince'!F12/(Normy!$C$13*IF(Normy!$D$13="",Parametry!$B$7,Normy!$D$13)),0))</f>
        <v/>
      </c>
      <c r="H45" s="4">
        <f>IF(OR(Normy!$C$13="",'Volume po lince'!G12=0),"",ROUNDUP('Volume po lince'!G12/(Normy!$C$13*IF(Normy!$D$13="",Parametry!$B$7,Normy!$D$13)),0))</f>
        <v/>
      </c>
      <c r="I45" s="4">
        <f>IF(OR(Normy!$C$13="",'Volume po lince'!H12=0),"",ROUNDUP('Volume po lince'!H12/(Normy!$C$13*IF(Normy!$D$13="",Parametry!$B$7,Normy!$D$13)),0))</f>
        <v/>
      </c>
      <c r="J45" s="4">
        <f>IF(OR(Normy!$C$13="",'Volume po lince'!I12=0),"",ROUNDUP('Volume po lince'!I12/(Normy!$C$13*IF(Normy!$D$13="",Parametry!$B$7,Normy!$D$13)),0))</f>
        <v/>
      </c>
      <c r="K45" s="4">
        <f>IF(OR(Normy!$C$13="",'Volume po lince'!J12=0),"",ROUNDUP('Volume po lince'!J12/(Normy!$C$13*IF(Normy!$D$13="",Parametry!$B$7,Normy!$D$13)),0))</f>
        <v/>
      </c>
      <c r="L45" s="4">
        <f>IF(OR(Normy!$C$13="",'Volume po lince'!K12=0),"",ROUNDUP('Volume po lince'!K12/(Normy!$C$13*IF(Normy!$D$13="",Parametry!$B$7,Normy!$D$13)),0))</f>
        <v/>
      </c>
      <c r="M45" s="4">
        <f>IF(OR(Normy!$C$13="",'Volume po lince'!L12=0),"",ROUNDUP('Volume po lince'!L12/(Normy!$C$13*IF(Normy!$D$13="",Parametry!$B$7,Normy!$D$13)),0))</f>
        <v/>
      </c>
      <c r="N45" s="4">
        <f>IF(OR(Normy!$C$13="",'Volume po lince'!M12=0),"",ROUNDUP('Volume po lince'!M12/(Normy!$C$13*IF(Normy!$D$13="",Parametry!$B$7,Normy!$D$13)),0))</f>
        <v/>
      </c>
      <c r="O45" s="4">
        <f>IF(OR(Normy!$C$13="",'Volume po lince'!N12=0),"",ROUNDUP('Volume po lince'!N12/(Normy!$C$13*IF(Normy!$D$13="",Parametry!$B$7,Normy!$D$13)),0))</f>
        <v/>
      </c>
      <c r="P45" s="4">
        <f>IF(OR(Normy!$C$13="",'Volume po lince'!O12=0),"",ROUNDUP('Volume po lince'!O12/(Normy!$C$13*IF(Normy!$D$13="",Parametry!$B$7,Normy!$D$13)),0))</f>
        <v/>
      </c>
      <c r="Q45" s="4">
        <f>IF(OR(Normy!$C$13="",'Volume po lince'!P12=0),"",ROUNDUP('Volume po lince'!P12/(Normy!$C$13*IF(Normy!$D$13="",Parametry!$B$7,Normy!$D$13)),0))</f>
        <v/>
      </c>
      <c r="R45" s="4">
        <f>IF(OR(Normy!$C$13="",'Volume po lince'!Q12=0),"",ROUNDUP('Volume po lince'!Q12/(Normy!$C$13*IF(Normy!$D$13="",Parametry!$B$7,Normy!$D$13)),0))</f>
        <v/>
      </c>
      <c r="S45" s="4">
        <f>IF(OR(Normy!$C$13="",'Volume po lince'!R12=0),"",ROUNDUP('Volume po lince'!R12/(Normy!$C$13*IF(Normy!$D$13="",Parametry!$B$7,Normy!$D$13)),0))</f>
        <v/>
      </c>
      <c r="T45" s="4">
        <f>IF(OR(Normy!$C$13="",'Volume po lince'!S12=0),"",ROUNDUP('Volume po lince'!S12/(Normy!$C$13*IF(Normy!$D$13="",Parametry!$B$7,Normy!$D$13)),0))</f>
        <v/>
      </c>
      <c r="U45" s="4">
        <f>IF(OR(Normy!$C$13="",'Volume po lince'!T12=0),"",ROUNDUP('Volume po lince'!T12/(Normy!$C$13*IF(Normy!$D$13="",Parametry!$B$7,Normy!$D$13)),0))</f>
        <v/>
      </c>
      <c r="V45" s="4">
        <f>IF(OR(Normy!$C$13="",'Volume po lince'!U12=0),"",ROUNDUP('Volume po lince'!U12/(Normy!$C$13*IF(Normy!$D$13="",Parametry!$B$7,Normy!$D$13)),0))</f>
        <v/>
      </c>
      <c r="W45" s="4">
        <f>IF(OR(Normy!$C$13="",'Volume po lince'!V12=0),"",ROUNDUP('Volume po lince'!V12/(Normy!$C$13*IF(Normy!$D$13="",Parametry!$B$7,Normy!$D$13)),0))</f>
        <v/>
      </c>
      <c r="X45" s="4">
        <f>IF(OR(Normy!$C$13="",'Volume po lince'!W12=0),"",ROUNDUP('Volume po lince'!W12/(Normy!$C$13*IF(Normy!$D$13="",Parametry!$B$7,Normy!$D$13)),0))</f>
        <v/>
      </c>
      <c r="Y45" s="4">
        <f>IF(OR(Normy!$C$13="",'Volume po lince'!X12=0),"",ROUNDUP('Volume po lince'!X12/(Normy!$C$13*IF(Normy!$D$13="",Parametry!$B$7,Normy!$D$13)),0))</f>
        <v/>
      </c>
      <c r="Z45" s="4">
        <f>IF(OR(Normy!$C$13="",'Volume po lince'!Y12=0),"",ROUNDUP('Volume po lince'!Y12/(Normy!$C$13*IF(Normy!$D$13="",Parametry!$B$7,Normy!$D$13)),0))</f>
        <v/>
      </c>
      <c r="AA45" s="4">
        <f>IF(OR(Normy!$C$13="",'Volume po lince'!Z12=0),"",ROUNDUP('Volume po lince'!Z12/(Normy!$C$13*IF(Normy!$D$13="",Parametry!$B$7,Normy!$D$13)),0))</f>
        <v/>
      </c>
      <c r="AB45" s="4">
        <f>IF(OR(Normy!$C$13="",'Volume po lince'!AA12=0),"",ROUNDUP('Volume po lince'!AA12/(Normy!$C$13*IF(Normy!$D$13="",Parametry!$B$7,Normy!$D$13)),0))</f>
        <v/>
      </c>
      <c r="AC45" s="4">
        <f>IF(OR(Normy!$C$13="",'Volume po lince'!AB12=0),"",ROUNDUP('Volume po lince'!AB12/(Normy!$C$13*IF(Normy!$D$13="",Parametry!$B$7,Normy!$D$13)),0))</f>
        <v/>
      </c>
      <c r="AD45" s="4">
        <f>IF(OR(Normy!$C$13="",'Volume po lince'!AC12=0),"",ROUNDUP('Volume po lince'!AC12/(Normy!$C$13*IF(Normy!$D$13="",Parametry!$B$7,Normy!$D$13)),0))</f>
        <v/>
      </c>
      <c r="AE45" s="4">
        <f>IF(OR(Normy!$C$13="",'Volume po lince'!AD12=0),"",ROUNDUP('Volume po lince'!AD12/(Normy!$C$13*IF(Normy!$D$13="",Parametry!$B$7,Normy!$D$13)),0))</f>
        <v/>
      </c>
      <c r="AF45" s="4">
        <f>IF(OR(Normy!$C$13="",'Volume po lince'!AE12=0),"",ROUNDUP('Volume po lince'!AE12/(Normy!$C$13*IF(Normy!$D$13="",Parametry!$B$7,Normy!$D$13)),0))</f>
        <v/>
      </c>
      <c r="AG45" s="4">
        <f>IF(OR(Normy!$C$13="",'Volume po lince'!AF12=0),"",ROUNDUP('Volume po lince'!AF12/(Normy!$C$13*IF(Normy!$D$13="",Parametry!$B$7,Normy!$D$13)),0))</f>
        <v/>
      </c>
      <c r="AH45" s="4">
        <f>IF(OR(Normy!$C$13="",'Volume po lince'!AG12=0),"",ROUNDUP('Volume po lince'!AG12/(Normy!$C$13*IF(Normy!$D$13="",Parametry!$B$7,Normy!$D$13)),0))</f>
        <v/>
      </c>
      <c r="AI45" s="4">
        <f>IF(OR(Normy!$C$13="",'Volume po lince'!AH12=0),"",ROUNDUP('Volume po lince'!AH12/(Normy!$C$13*IF(Normy!$D$13="",Parametry!$B$7,Normy!$D$13)),0))</f>
        <v/>
      </c>
      <c r="AJ45" s="4">
        <f>IF(OR(Normy!$C$13="",'Volume po lince'!AI12=0),"",ROUNDUP('Volume po lince'!AI12/(Normy!$C$13*IF(Normy!$D$13="",Parametry!$B$7,Normy!$D$13)),0))</f>
        <v/>
      </c>
      <c r="AK45" s="4">
        <f>IF(OR(Normy!$C$13="",'Volume po lince'!AJ12=0),"",ROUNDUP('Volume po lince'!AJ12/(Normy!$C$13*IF(Normy!$D$13="",Parametry!$B$7,Normy!$D$13)),0))</f>
        <v/>
      </c>
      <c r="AL45" s="4">
        <f>IF(OR(Normy!$C$13="",'Volume po lince'!AK12=0),"",ROUNDUP('Volume po lince'!AK12/(Normy!$C$13*IF(Normy!$D$13="",Parametry!$B$7,Normy!$D$13)),0))</f>
        <v/>
      </c>
      <c r="AM45" s="4">
        <f>IF(OR(Normy!$C$13="",'Volume po lince'!AL12=0),"",ROUNDUP('Volume po lince'!AL12/(Normy!$C$13*IF(Normy!$D$13="",Parametry!$B$7,Normy!$D$13)),0))</f>
        <v/>
      </c>
      <c r="AN45" s="4">
        <f>IF(OR(Normy!$C$13="",'Volume po lince'!AM12=0),"",ROUNDUP('Volume po lince'!AM12/(Normy!$C$13*IF(Normy!$D$13="",Parametry!$B$7,Normy!$D$13)),0))</f>
        <v/>
      </c>
      <c r="AO45" s="4">
        <f>IF(OR(Normy!$C$13="",'Volume po lince'!AN12=0),"",ROUNDUP('Volume po lince'!AN12/(Normy!$C$13*IF(Normy!$D$13="",Parametry!$B$7,Normy!$D$13)),0))</f>
        <v/>
      </c>
      <c r="AP45" s="4">
        <f>IF(OR(Normy!$C$13="",'Volume po lince'!AO12=0),"",ROUNDUP('Volume po lince'!AO12/(Normy!$C$13*IF(Normy!$D$13="",Parametry!$B$7,Normy!$D$13)),0))</f>
        <v/>
      </c>
      <c r="AQ45" s="4">
        <f>IF(OR(Normy!$C$13="",'Volume po lince'!AP12=0),"",ROUNDUP('Volume po lince'!AP12/(Normy!$C$13*IF(Normy!$D$13="",Parametry!$B$7,Normy!$D$13)),0))</f>
        <v/>
      </c>
      <c r="AR45" s="4">
        <f>IF(OR(Normy!$C$13="",'Volume po lince'!AQ12=0),"",ROUNDUP('Volume po lince'!AQ12/(Normy!$C$13*IF(Normy!$D$13="",Parametry!$B$7,Normy!$D$13)),0))</f>
        <v/>
      </c>
      <c r="AS45" s="4">
        <f>IF(OR(Normy!$C$13="",'Volume po lince'!AR12=0),"",ROUNDUP('Volume po lince'!AR12/(Normy!$C$13*IF(Normy!$D$13="",Parametry!$B$7,Normy!$D$13)),0))</f>
        <v/>
      </c>
      <c r="AT45" s="4">
        <f>IF(OR(Normy!$C$13="",'Volume po lince'!AS12=0),"",ROUNDUP('Volume po lince'!AS12/(Normy!$C$13*IF(Normy!$D$13="",Parametry!$B$7,Normy!$D$13)),0))</f>
        <v/>
      </c>
      <c r="AU45" s="4">
        <f>IF(OR(Normy!$C$13="",'Volume po lince'!AT12=0),"",ROUNDUP('Volume po lince'!AT12/(Normy!$C$13*IF(Normy!$D$13="",Parametry!$B$7,Normy!$D$13)),0))</f>
        <v/>
      </c>
      <c r="AV45" s="4">
        <f>IF(OR(Normy!$C$13="",'Volume po lince'!AU12=0),"",ROUNDUP('Volume po lince'!AU12/(Normy!$C$13*IF(Normy!$D$13="",Parametry!$B$7,Normy!$D$13)),0))</f>
        <v/>
      </c>
      <c r="AW45" s="4">
        <f>IF(OR(Normy!$C$13="",'Volume po lince'!AV12=0),"",ROUNDUP('Volume po lince'!AV12/(Normy!$C$13*IF(Normy!$D$13="",Parametry!$B$7,Normy!$D$13)),0))</f>
        <v/>
      </c>
      <c r="AX45" s="4">
        <f>IF(OR(Normy!$C$13="",'Volume po lince'!AW12=0),"",ROUNDUP('Volume po lince'!AW12/(Normy!$C$13*IF(Normy!$D$13="",Parametry!$B$7,Normy!$D$13)),0))</f>
        <v/>
      </c>
      <c r="AY45" s="4">
        <f>IF(OR(Normy!$C$13="",'Volume po lince'!AX12=0),"",ROUNDUP('Volume po lince'!AX12/(Normy!$C$13*IF(Normy!$D$13="",Parametry!$B$7,Normy!$D$13)),0))</f>
        <v/>
      </c>
      <c r="AZ45" s="4">
        <f>IF(OR(Normy!$C$13="",'Volume po lince'!AY12=0),"",ROUNDUP('Volume po lince'!AY12/(Normy!$C$13*IF(Normy!$D$13="",Parametry!$B$7,Normy!$D$13)),0))</f>
        <v/>
      </c>
      <c r="BA45" s="4">
        <f>IF(OR(Normy!$C$13="",'Volume po lince'!AZ12=0),"",ROUNDUP('Volume po lince'!AZ12/(Normy!$C$13*IF(Normy!$D$13="",Parametry!$B$7,Normy!$D$13)),0))</f>
        <v/>
      </c>
      <c r="BB45" s="4">
        <f>IF(OR(Normy!$C$13="",'Volume po lince'!BA12=0),"",ROUNDUP('Volume po lince'!BA12/(Normy!$C$13*IF(Normy!$D$13="",Parametry!$B$7,Normy!$D$13)),0))</f>
        <v/>
      </c>
      <c r="BC45" s="4">
        <f>IF(OR(Normy!$C$13="",'Volume po lince'!BB12=0),"",ROUNDUP('Volume po lince'!BB12/(Normy!$C$13*IF(Normy!$D$13="",Parametry!$B$7,Normy!$D$13)),0))</f>
        <v/>
      </c>
      <c r="BD45" s="4">
        <f>IF(OR(Normy!$C$13="",'Volume po lince'!BC12=0),"",ROUNDUP('Volume po lince'!BC12/(Normy!$C$13*IF(Normy!$D$13="",Parametry!$B$7,Normy!$D$13)),0))</f>
        <v/>
      </c>
      <c r="BE45" s="4">
        <f>IF(OR(Normy!$C$13="",'Volume po lince'!BD12=0),"",ROUNDUP('Volume po lince'!BD12/(Normy!$C$13*IF(Normy!$D$13="",Parametry!$B$7,Normy!$D$13)),0))</f>
        <v/>
      </c>
      <c r="BF45" s="4">
        <f>IF(OR(Normy!$C$13="",'Volume po lince'!BE12=0),"",ROUNDUP('Volume po lince'!BE12/(Normy!$C$13*IF(Normy!$D$13="",Parametry!$B$7,Normy!$D$13)),0))</f>
        <v/>
      </c>
      <c r="BG45" s="4">
        <f>IF(OR(Normy!$C$13="",'Volume po lince'!BF12=0),"",ROUNDUP('Volume po lince'!BF12/(Normy!$C$13*IF(Normy!$D$13="",Parametry!$B$7,Normy!$D$13)),0))</f>
        <v/>
      </c>
      <c r="BH45" s="4">
        <f>IF(OR(Normy!$C$13="",'Volume po lince'!BG12=0),"",ROUNDUP('Volume po lince'!BG12/(Normy!$C$13*IF(Normy!$D$13="",Parametry!$B$7,Normy!$D$13)),0))</f>
        <v/>
      </c>
      <c r="BI45" s="4">
        <f>IF(OR(Normy!$C$13="",'Volume po lince'!BH12=0),"",ROUNDUP('Volume po lince'!BH12/(Normy!$C$13*IF(Normy!$D$13="",Parametry!$B$7,Normy!$D$13)),0))</f>
        <v/>
      </c>
      <c r="BJ45" s="4">
        <f>IF(OR(Normy!$C$13="",'Volume po lince'!BI12=0),"",ROUNDUP('Volume po lince'!BI12/(Normy!$C$13*IF(Normy!$D$13="",Parametry!$B$7,Normy!$D$13)),0))</f>
        <v/>
      </c>
      <c r="BK45" s="4">
        <f>IF(OR(Normy!$C$13="",'Volume po lince'!BJ12=0),"",ROUNDUP('Volume po lince'!BJ12/(Normy!$C$13*IF(Normy!$D$13="",Parametry!$B$7,Normy!$D$13)),0))</f>
        <v/>
      </c>
      <c r="BL45" s="4">
        <f>IF(OR(Normy!$C$13="",'Volume po lince'!BK12=0),"",ROUNDUP('Volume po lince'!BK12/(Normy!$C$13*IF(Normy!$D$13="",Parametry!$B$7,Normy!$D$13)),0))</f>
        <v/>
      </c>
      <c r="BM45" s="4">
        <f>IF(OR(Normy!$C$13="",'Volume po lince'!BL12=0),"",ROUNDUP('Volume po lince'!BL12/(Normy!$C$13*IF(Normy!$D$13="",Parametry!$B$7,Normy!$D$13)),0))</f>
        <v/>
      </c>
    </row>
    <row r="46">
      <c r="A46" s="19" t="n"/>
      <c r="B46" s="4" t="inlineStr">
        <is>
          <t>OP-směn</t>
        </is>
      </c>
      <c r="C46" s="4">
        <f>IF(OR(C45="",Normy!$E$13=""),"",C45*Normy!$E$13)</f>
        <v/>
      </c>
      <c r="D46" s="4">
        <f>IF(OR(D45="",Normy!$E$13=""),"",D45*Normy!$E$13)</f>
        <v/>
      </c>
      <c r="E46" s="4">
        <f>IF(OR(E45="",Normy!$E$13=""),"",E45*Normy!$E$13)</f>
        <v/>
      </c>
      <c r="F46" s="4">
        <f>IF(OR(F45="",Normy!$E$13=""),"",F45*Normy!$E$13)</f>
        <v/>
      </c>
      <c r="G46" s="4">
        <f>IF(OR(G45="",Normy!$E$13=""),"",G45*Normy!$E$13)</f>
        <v/>
      </c>
      <c r="H46" s="4">
        <f>IF(OR(H45="",Normy!$E$13=""),"",H45*Normy!$E$13)</f>
        <v/>
      </c>
      <c r="I46" s="4">
        <f>IF(OR(I45="",Normy!$E$13=""),"",I45*Normy!$E$13)</f>
        <v/>
      </c>
      <c r="J46" s="4">
        <f>IF(OR(J45="",Normy!$E$13=""),"",J45*Normy!$E$13)</f>
        <v/>
      </c>
      <c r="K46" s="4">
        <f>IF(OR(K45="",Normy!$E$13=""),"",K45*Normy!$E$13)</f>
        <v/>
      </c>
      <c r="L46" s="4">
        <f>IF(OR(L45="",Normy!$E$13=""),"",L45*Normy!$E$13)</f>
        <v/>
      </c>
      <c r="M46" s="4">
        <f>IF(OR(M45="",Normy!$E$13=""),"",M45*Normy!$E$13)</f>
        <v/>
      </c>
      <c r="N46" s="4">
        <f>IF(OR(N45="",Normy!$E$13=""),"",N45*Normy!$E$13)</f>
        <v/>
      </c>
      <c r="O46" s="4">
        <f>IF(OR(O45="",Normy!$E$13=""),"",O45*Normy!$E$13)</f>
        <v/>
      </c>
      <c r="P46" s="4">
        <f>IF(OR(P45="",Normy!$E$13=""),"",P45*Normy!$E$13)</f>
        <v/>
      </c>
      <c r="Q46" s="4">
        <f>IF(OR(Q45="",Normy!$E$13=""),"",Q45*Normy!$E$13)</f>
        <v/>
      </c>
      <c r="R46" s="4">
        <f>IF(OR(R45="",Normy!$E$13=""),"",R45*Normy!$E$13)</f>
        <v/>
      </c>
      <c r="S46" s="4">
        <f>IF(OR(S45="",Normy!$E$13=""),"",S45*Normy!$E$13)</f>
        <v/>
      </c>
      <c r="T46" s="4">
        <f>IF(OR(T45="",Normy!$E$13=""),"",T45*Normy!$E$13)</f>
        <v/>
      </c>
      <c r="U46" s="4">
        <f>IF(OR(U45="",Normy!$E$13=""),"",U45*Normy!$E$13)</f>
        <v/>
      </c>
      <c r="V46" s="4">
        <f>IF(OR(V45="",Normy!$E$13=""),"",V45*Normy!$E$13)</f>
        <v/>
      </c>
      <c r="W46" s="4">
        <f>IF(OR(W45="",Normy!$E$13=""),"",W45*Normy!$E$13)</f>
        <v/>
      </c>
      <c r="X46" s="4">
        <f>IF(OR(X45="",Normy!$E$13=""),"",X45*Normy!$E$13)</f>
        <v/>
      </c>
      <c r="Y46" s="4">
        <f>IF(OR(Y45="",Normy!$E$13=""),"",Y45*Normy!$E$13)</f>
        <v/>
      </c>
      <c r="Z46" s="4">
        <f>IF(OR(Z45="",Normy!$E$13=""),"",Z45*Normy!$E$13)</f>
        <v/>
      </c>
      <c r="AA46" s="4">
        <f>IF(OR(AA45="",Normy!$E$13=""),"",AA45*Normy!$E$13)</f>
        <v/>
      </c>
      <c r="AB46" s="4">
        <f>IF(OR(AB45="",Normy!$E$13=""),"",AB45*Normy!$E$13)</f>
        <v/>
      </c>
      <c r="AC46" s="4">
        <f>IF(OR(AC45="",Normy!$E$13=""),"",AC45*Normy!$E$13)</f>
        <v/>
      </c>
      <c r="AD46" s="4">
        <f>IF(OR(AD45="",Normy!$E$13=""),"",AD45*Normy!$E$13)</f>
        <v/>
      </c>
      <c r="AE46" s="4">
        <f>IF(OR(AE45="",Normy!$E$13=""),"",AE45*Normy!$E$13)</f>
        <v/>
      </c>
      <c r="AF46" s="4">
        <f>IF(OR(AF45="",Normy!$E$13=""),"",AF45*Normy!$E$13)</f>
        <v/>
      </c>
      <c r="AG46" s="4">
        <f>IF(OR(AG45="",Normy!$E$13=""),"",AG45*Normy!$E$13)</f>
        <v/>
      </c>
      <c r="AH46" s="4">
        <f>IF(OR(AH45="",Normy!$E$13=""),"",AH45*Normy!$E$13)</f>
        <v/>
      </c>
      <c r="AI46" s="4">
        <f>IF(OR(AI45="",Normy!$E$13=""),"",AI45*Normy!$E$13)</f>
        <v/>
      </c>
      <c r="AJ46" s="4">
        <f>IF(OR(AJ45="",Normy!$E$13=""),"",AJ45*Normy!$E$13)</f>
        <v/>
      </c>
      <c r="AK46" s="4">
        <f>IF(OR(AK45="",Normy!$E$13=""),"",AK45*Normy!$E$13)</f>
        <v/>
      </c>
      <c r="AL46" s="4">
        <f>IF(OR(AL45="",Normy!$E$13=""),"",AL45*Normy!$E$13)</f>
        <v/>
      </c>
      <c r="AM46" s="4">
        <f>IF(OR(AM45="",Normy!$E$13=""),"",AM45*Normy!$E$13)</f>
        <v/>
      </c>
      <c r="AN46" s="4">
        <f>IF(OR(AN45="",Normy!$E$13=""),"",AN45*Normy!$E$13)</f>
        <v/>
      </c>
      <c r="AO46" s="4">
        <f>IF(OR(AO45="",Normy!$E$13=""),"",AO45*Normy!$E$13)</f>
        <v/>
      </c>
      <c r="AP46" s="4">
        <f>IF(OR(AP45="",Normy!$E$13=""),"",AP45*Normy!$E$13)</f>
        <v/>
      </c>
      <c r="AQ46" s="4">
        <f>IF(OR(AQ45="",Normy!$E$13=""),"",AQ45*Normy!$E$13)</f>
        <v/>
      </c>
      <c r="AR46" s="4">
        <f>IF(OR(AR45="",Normy!$E$13=""),"",AR45*Normy!$E$13)</f>
        <v/>
      </c>
      <c r="AS46" s="4">
        <f>IF(OR(AS45="",Normy!$E$13=""),"",AS45*Normy!$E$13)</f>
        <v/>
      </c>
      <c r="AT46" s="4">
        <f>IF(OR(AT45="",Normy!$E$13=""),"",AT45*Normy!$E$13)</f>
        <v/>
      </c>
      <c r="AU46" s="4">
        <f>IF(OR(AU45="",Normy!$E$13=""),"",AU45*Normy!$E$13)</f>
        <v/>
      </c>
      <c r="AV46" s="4">
        <f>IF(OR(AV45="",Normy!$E$13=""),"",AV45*Normy!$E$13)</f>
        <v/>
      </c>
      <c r="AW46" s="4">
        <f>IF(OR(AW45="",Normy!$E$13=""),"",AW45*Normy!$E$13)</f>
        <v/>
      </c>
      <c r="AX46" s="4">
        <f>IF(OR(AX45="",Normy!$E$13=""),"",AX45*Normy!$E$13)</f>
        <v/>
      </c>
      <c r="AY46" s="4">
        <f>IF(OR(AY45="",Normy!$E$13=""),"",AY45*Normy!$E$13)</f>
        <v/>
      </c>
      <c r="AZ46" s="4">
        <f>IF(OR(AZ45="",Normy!$E$13=""),"",AZ45*Normy!$E$13)</f>
        <v/>
      </c>
      <c r="BA46" s="4">
        <f>IF(OR(BA45="",Normy!$E$13=""),"",BA45*Normy!$E$13)</f>
        <v/>
      </c>
      <c r="BB46" s="4">
        <f>IF(OR(BB45="",Normy!$E$13=""),"",BB45*Normy!$E$13)</f>
        <v/>
      </c>
      <c r="BC46" s="4">
        <f>IF(OR(BC45="",Normy!$E$13=""),"",BC45*Normy!$E$13)</f>
        <v/>
      </c>
      <c r="BD46" s="4">
        <f>IF(OR(BD45="",Normy!$E$13=""),"",BD45*Normy!$E$13)</f>
        <v/>
      </c>
      <c r="BE46" s="4">
        <f>IF(OR(BE45="",Normy!$E$13=""),"",BE45*Normy!$E$13)</f>
        <v/>
      </c>
      <c r="BF46" s="4">
        <f>IF(OR(BF45="",Normy!$E$13=""),"",BF45*Normy!$E$13)</f>
        <v/>
      </c>
      <c r="BG46" s="4">
        <f>IF(OR(BG45="",Normy!$E$13=""),"",BG45*Normy!$E$13)</f>
        <v/>
      </c>
      <c r="BH46" s="4">
        <f>IF(OR(BH45="",Normy!$E$13=""),"",BH45*Normy!$E$13)</f>
        <v/>
      </c>
      <c r="BI46" s="4">
        <f>IF(OR(BI45="",Normy!$E$13=""),"",BI45*Normy!$E$13)</f>
        <v/>
      </c>
      <c r="BJ46" s="4">
        <f>IF(OR(BJ45="",Normy!$E$13=""),"",BJ45*Normy!$E$13)</f>
        <v/>
      </c>
      <c r="BK46" s="4">
        <f>IF(OR(BK45="",Normy!$E$13=""),"",BK45*Normy!$E$13)</f>
        <v/>
      </c>
      <c r="BL46" s="4">
        <f>IF(OR(BL45="",Normy!$E$13=""),"",BL45*Normy!$E$13)</f>
        <v/>
      </c>
      <c r="BM46" s="4">
        <f>IF(OR(BM45="",Normy!$E$13=""),"",BM45*Normy!$E$13)</f>
        <v/>
      </c>
    </row>
    <row r="47">
      <c r="A47" s="19" t="n"/>
      <c r="B47" s="4" t="inlineStr">
        <is>
          <t>Potřeba FTE DL</t>
        </is>
      </c>
      <c r="C47" s="4">
        <f>IF(C46="","",ROUND(C46*Parametry!$B$6/(Parametry!$B$4*(1-Parametry!$B$5)),1))</f>
        <v/>
      </c>
      <c r="D47" s="4">
        <f>IF(D46="","",ROUND(D46*Parametry!$B$6/(Parametry!$B$4*(1-Parametry!$B$5)),1))</f>
        <v/>
      </c>
      <c r="E47" s="4">
        <f>IF(E46="","",ROUND(E46*Parametry!$B$6/(Parametry!$B$4*(1-Parametry!$B$5)),1))</f>
        <v/>
      </c>
      <c r="F47" s="4">
        <f>IF(F46="","",ROUND(F46*Parametry!$B$6/(Parametry!$B$4*(1-Parametry!$B$5)),1))</f>
        <v/>
      </c>
      <c r="G47" s="4">
        <f>IF(G46="","",ROUND(G46*Parametry!$B$6/(Parametry!$B$4*(1-Parametry!$B$5)),1))</f>
        <v/>
      </c>
      <c r="H47" s="4">
        <f>IF(H46="","",ROUND(H46*Parametry!$B$6/(Parametry!$B$4*(1-Parametry!$B$5)),1))</f>
        <v/>
      </c>
      <c r="I47" s="4">
        <f>IF(I46="","",ROUND(I46*Parametry!$B$6/(Parametry!$B$4*(1-Parametry!$B$5)),1))</f>
        <v/>
      </c>
      <c r="J47" s="4">
        <f>IF(J46="","",ROUND(J46*Parametry!$B$6/(Parametry!$B$4*(1-Parametry!$B$5)),1))</f>
        <v/>
      </c>
      <c r="K47" s="4">
        <f>IF(K46="","",ROUND(K46*Parametry!$B$6/(Parametry!$B$4*(1-Parametry!$B$5)),1))</f>
        <v/>
      </c>
      <c r="L47" s="4">
        <f>IF(L46="","",ROUND(L46*Parametry!$B$6/(Parametry!$B$4*(1-Parametry!$B$5)),1))</f>
        <v/>
      </c>
      <c r="M47" s="4">
        <f>IF(M46="","",ROUND(M46*Parametry!$B$6/(Parametry!$B$4*(1-Parametry!$B$5)),1))</f>
        <v/>
      </c>
      <c r="N47" s="4">
        <f>IF(N46="","",ROUND(N46*Parametry!$B$6/(Parametry!$B$4*(1-Parametry!$B$5)),1))</f>
        <v/>
      </c>
      <c r="O47" s="4">
        <f>IF(O46="","",ROUND(O46*Parametry!$B$6/(Parametry!$B$4*(1-Parametry!$B$5)),1))</f>
        <v/>
      </c>
      <c r="P47" s="4">
        <f>IF(P46="","",ROUND(P46*Parametry!$B$6/(Parametry!$B$4*(1-Parametry!$B$5)),1))</f>
        <v/>
      </c>
      <c r="Q47" s="4">
        <f>IF(Q46="","",ROUND(Q46*Parametry!$B$6/(Parametry!$B$4*(1-Parametry!$B$5)),1))</f>
        <v/>
      </c>
      <c r="R47" s="4">
        <f>IF(R46="","",ROUND(R46*Parametry!$B$6/(Parametry!$B$4*(1-Parametry!$B$5)),1))</f>
        <v/>
      </c>
      <c r="S47" s="4">
        <f>IF(S46="","",ROUND(S46*Parametry!$B$6/(Parametry!$B$4*(1-Parametry!$B$5)),1))</f>
        <v/>
      </c>
      <c r="T47" s="4">
        <f>IF(T46="","",ROUND(T46*Parametry!$B$6/(Parametry!$B$4*(1-Parametry!$B$5)),1))</f>
        <v/>
      </c>
      <c r="U47" s="4">
        <f>IF(U46="","",ROUND(U46*Parametry!$B$6/(Parametry!$B$4*(1-Parametry!$B$5)),1))</f>
        <v/>
      </c>
      <c r="V47" s="4">
        <f>IF(V46="","",ROUND(V46*Parametry!$B$6/(Parametry!$B$4*(1-Parametry!$B$5)),1))</f>
        <v/>
      </c>
      <c r="W47" s="4">
        <f>IF(W46="","",ROUND(W46*Parametry!$B$6/(Parametry!$B$4*(1-Parametry!$B$5)),1))</f>
        <v/>
      </c>
      <c r="X47" s="4">
        <f>IF(X46="","",ROUND(X46*Parametry!$B$6/(Parametry!$B$4*(1-Parametry!$B$5)),1))</f>
        <v/>
      </c>
      <c r="Y47" s="4">
        <f>IF(Y46="","",ROUND(Y46*Parametry!$B$6/(Parametry!$B$4*(1-Parametry!$B$5)),1))</f>
        <v/>
      </c>
      <c r="Z47" s="4">
        <f>IF(Z46="","",ROUND(Z46*Parametry!$B$6/(Parametry!$B$4*(1-Parametry!$B$5)),1))</f>
        <v/>
      </c>
      <c r="AA47" s="4">
        <f>IF(AA46="","",ROUND(AA46*Parametry!$B$6/(Parametry!$B$4*(1-Parametry!$B$5)),1))</f>
        <v/>
      </c>
      <c r="AB47" s="4">
        <f>IF(AB46="","",ROUND(AB46*Parametry!$B$6/(Parametry!$B$4*(1-Parametry!$B$5)),1))</f>
        <v/>
      </c>
      <c r="AC47" s="4">
        <f>IF(AC46="","",ROUND(AC46*Parametry!$B$6/(Parametry!$B$4*(1-Parametry!$B$5)),1))</f>
        <v/>
      </c>
      <c r="AD47" s="4">
        <f>IF(AD46="","",ROUND(AD46*Parametry!$B$6/(Parametry!$B$4*(1-Parametry!$B$5)),1))</f>
        <v/>
      </c>
      <c r="AE47" s="4">
        <f>IF(AE46="","",ROUND(AE46*Parametry!$B$6/(Parametry!$B$4*(1-Parametry!$B$5)),1))</f>
        <v/>
      </c>
      <c r="AF47" s="4">
        <f>IF(AF46="","",ROUND(AF46*Parametry!$B$6/(Parametry!$B$4*(1-Parametry!$B$5)),1))</f>
        <v/>
      </c>
      <c r="AG47" s="4">
        <f>IF(AG46="","",ROUND(AG46*Parametry!$B$6/(Parametry!$B$4*(1-Parametry!$B$5)),1))</f>
        <v/>
      </c>
      <c r="AH47" s="4">
        <f>IF(AH46="","",ROUND(AH46*Parametry!$B$6/(Parametry!$B$4*(1-Parametry!$B$5)),1))</f>
        <v/>
      </c>
      <c r="AI47" s="4">
        <f>IF(AI46="","",ROUND(AI46*Parametry!$B$6/(Parametry!$B$4*(1-Parametry!$B$5)),1))</f>
        <v/>
      </c>
      <c r="AJ47" s="4">
        <f>IF(AJ46="","",ROUND(AJ46*Parametry!$B$6/(Parametry!$B$4*(1-Parametry!$B$5)),1))</f>
        <v/>
      </c>
      <c r="AK47" s="4">
        <f>IF(AK46="","",ROUND(AK46*Parametry!$B$6/(Parametry!$B$4*(1-Parametry!$B$5)),1))</f>
        <v/>
      </c>
      <c r="AL47" s="4">
        <f>IF(AL46="","",ROUND(AL46*Parametry!$B$6/(Parametry!$B$4*(1-Parametry!$B$5)),1))</f>
        <v/>
      </c>
      <c r="AM47" s="4">
        <f>IF(AM46="","",ROUND(AM46*Parametry!$B$6/(Parametry!$B$4*(1-Parametry!$B$5)),1))</f>
        <v/>
      </c>
      <c r="AN47" s="4">
        <f>IF(AN46="","",ROUND(AN46*Parametry!$B$6/(Parametry!$B$4*(1-Parametry!$B$5)),1))</f>
        <v/>
      </c>
      <c r="AO47" s="4">
        <f>IF(AO46="","",ROUND(AO46*Parametry!$B$6/(Parametry!$B$4*(1-Parametry!$B$5)),1))</f>
        <v/>
      </c>
      <c r="AP47" s="4">
        <f>IF(AP46="","",ROUND(AP46*Parametry!$B$6/(Parametry!$B$4*(1-Parametry!$B$5)),1))</f>
        <v/>
      </c>
      <c r="AQ47" s="4">
        <f>IF(AQ46="","",ROUND(AQ46*Parametry!$B$6/(Parametry!$B$4*(1-Parametry!$B$5)),1))</f>
        <v/>
      </c>
      <c r="AR47" s="4">
        <f>IF(AR46="","",ROUND(AR46*Parametry!$B$6/(Parametry!$B$4*(1-Parametry!$B$5)),1))</f>
        <v/>
      </c>
      <c r="AS47" s="4">
        <f>IF(AS46="","",ROUND(AS46*Parametry!$B$6/(Parametry!$B$4*(1-Parametry!$B$5)),1))</f>
        <v/>
      </c>
      <c r="AT47" s="4">
        <f>IF(AT46="","",ROUND(AT46*Parametry!$B$6/(Parametry!$B$4*(1-Parametry!$B$5)),1))</f>
        <v/>
      </c>
      <c r="AU47" s="4">
        <f>IF(AU46="","",ROUND(AU46*Parametry!$B$6/(Parametry!$B$4*(1-Parametry!$B$5)),1))</f>
        <v/>
      </c>
      <c r="AV47" s="4">
        <f>IF(AV46="","",ROUND(AV46*Parametry!$B$6/(Parametry!$B$4*(1-Parametry!$B$5)),1))</f>
        <v/>
      </c>
      <c r="AW47" s="4">
        <f>IF(AW46="","",ROUND(AW46*Parametry!$B$6/(Parametry!$B$4*(1-Parametry!$B$5)),1))</f>
        <v/>
      </c>
      <c r="AX47" s="4">
        <f>IF(AX46="","",ROUND(AX46*Parametry!$B$6/(Parametry!$B$4*(1-Parametry!$B$5)),1))</f>
        <v/>
      </c>
      <c r="AY47" s="4">
        <f>IF(AY46="","",ROUND(AY46*Parametry!$B$6/(Parametry!$B$4*(1-Parametry!$B$5)),1))</f>
        <v/>
      </c>
      <c r="AZ47" s="4">
        <f>IF(AZ46="","",ROUND(AZ46*Parametry!$B$6/(Parametry!$B$4*(1-Parametry!$B$5)),1))</f>
        <v/>
      </c>
      <c r="BA47" s="4">
        <f>IF(BA46="","",ROUND(BA46*Parametry!$B$6/(Parametry!$B$4*(1-Parametry!$B$5)),1))</f>
        <v/>
      </c>
      <c r="BB47" s="4">
        <f>IF(BB46="","",ROUND(BB46*Parametry!$B$6/(Parametry!$B$4*(1-Parametry!$B$5)),1))</f>
        <v/>
      </c>
      <c r="BC47" s="4">
        <f>IF(BC46="","",ROUND(BC46*Parametry!$B$6/(Parametry!$B$4*(1-Parametry!$B$5)),1))</f>
        <v/>
      </c>
      <c r="BD47" s="4">
        <f>IF(BD46="","",ROUND(BD46*Parametry!$B$6/(Parametry!$B$4*(1-Parametry!$B$5)),1))</f>
        <v/>
      </c>
      <c r="BE47" s="4">
        <f>IF(BE46="","",ROUND(BE46*Parametry!$B$6/(Parametry!$B$4*(1-Parametry!$B$5)),1))</f>
        <v/>
      </c>
      <c r="BF47" s="4">
        <f>IF(BF46="","",ROUND(BF46*Parametry!$B$6/(Parametry!$B$4*(1-Parametry!$B$5)),1))</f>
        <v/>
      </c>
      <c r="BG47" s="4">
        <f>IF(BG46="","",ROUND(BG46*Parametry!$B$6/(Parametry!$B$4*(1-Parametry!$B$5)),1))</f>
        <v/>
      </c>
      <c r="BH47" s="4">
        <f>IF(BH46="","",ROUND(BH46*Parametry!$B$6/(Parametry!$B$4*(1-Parametry!$B$5)),1))</f>
        <v/>
      </c>
      <c r="BI47" s="4">
        <f>IF(BI46="","",ROUND(BI46*Parametry!$B$6/(Parametry!$B$4*(1-Parametry!$B$5)),1))</f>
        <v/>
      </c>
      <c r="BJ47" s="4">
        <f>IF(BJ46="","",ROUND(BJ46*Parametry!$B$6/(Parametry!$B$4*(1-Parametry!$B$5)),1))</f>
        <v/>
      </c>
      <c r="BK47" s="4">
        <f>IF(BK46="","",ROUND(BK46*Parametry!$B$6/(Parametry!$B$4*(1-Parametry!$B$5)),1))</f>
        <v/>
      </c>
      <c r="BL47" s="4">
        <f>IF(BL46="","",ROUND(BL46*Parametry!$B$6/(Parametry!$B$4*(1-Parametry!$B$5)),1))</f>
        <v/>
      </c>
      <c r="BM47" s="4">
        <f>IF(BM46="","",ROUND(BM46*Parametry!$B$6/(Parametry!$B$4*(1-Parametry!$B$5)),1))</f>
        <v/>
      </c>
    </row>
    <row r="48">
      <c r="A48" s="19" t="n"/>
      <c r="B48" s="4" t="inlineStr">
        <is>
          <t>Skutečnost FTE</t>
        </is>
      </c>
      <c r="C48" s="20">
        <f>IF(Normy!$G$13="","",ROUND(Normy!$G$13*5*Parametry!$B$6/(Parametry!$B$4*(1-Parametry!$B$5)),1))</f>
        <v/>
      </c>
      <c r="D48" s="20">
        <f>IF(Normy!$G$13="","",ROUND(Normy!$G$13*5*Parametry!$B$6/(Parametry!$B$4*(1-Parametry!$B$5)),1))</f>
        <v/>
      </c>
      <c r="E48" s="20">
        <f>IF(Normy!$G$13="","",ROUND(Normy!$G$13*5*Parametry!$B$6/(Parametry!$B$4*(1-Parametry!$B$5)),1))</f>
        <v/>
      </c>
      <c r="F48" s="20">
        <f>IF(Normy!$G$13="","",ROUND(Normy!$G$13*5*Parametry!$B$6/(Parametry!$B$4*(1-Parametry!$B$5)),1))</f>
        <v/>
      </c>
      <c r="G48" s="20">
        <f>IF(Normy!$G$13="","",ROUND(Normy!$G$13*5*Parametry!$B$6/(Parametry!$B$4*(1-Parametry!$B$5)),1))</f>
        <v/>
      </c>
      <c r="H48" s="20">
        <f>IF(Normy!$G$13="","",ROUND(Normy!$G$13*5*Parametry!$B$6/(Parametry!$B$4*(1-Parametry!$B$5)),1))</f>
        <v/>
      </c>
      <c r="I48" s="20">
        <f>IF(Normy!$G$13="","",ROUND(Normy!$G$13*5*Parametry!$B$6/(Parametry!$B$4*(1-Parametry!$B$5)),1))</f>
        <v/>
      </c>
      <c r="J48" s="20">
        <f>IF(Normy!$G$13="","",ROUND(Normy!$G$13*5*Parametry!$B$6/(Parametry!$B$4*(1-Parametry!$B$5)),1))</f>
        <v/>
      </c>
      <c r="K48" s="20">
        <f>IF(Normy!$G$13="","",ROUND(Normy!$G$13*5*Parametry!$B$6/(Parametry!$B$4*(1-Parametry!$B$5)),1))</f>
        <v/>
      </c>
      <c r="L48" s="20">
        <f>IF(Normy!$G$13="","",ROUND(Normy!$G$13*5*Parametry!$B$6/(Parametry!$B$4*(1-Parametry!$B$5)),1))</f>
        <v/>
      </c>
      <c r="M48" s="20">
        <f>IF(Normy!$G$13="","",ROUND(Normy!$G$13*5*Parametry!$B$6/(Parametry!$B$4*(1-Parametry!$B$5)),1))</f>
        <v/>
      </c>
      <c r="N48" s="20">
        <f>IF(Normy!$G$13="","",ROUND(Normy!$G$13*5*Parametry!$B$6/(Parametry!$B$4*(1-Parametry!$B$5)),1))</f>
        <v/>
      </c>
      <c r="O48" s="20">
        <f>IF(Normy!$G$13="","",ROUND(Normy!$G$13*5*Parametry!$B$6/(Parametry!$B$4*(1-Parametry!$B$5)),1))</f>
        <v/>
      </c>
      <c r="P48" s="20">
        <f>IF(Normy!$G$13="","",ROUND(Normy!$G$13*5*Parametry!$B$6/(Parametry!$B$4*(1-Parametry!$B$5)),1))</f>
        <v/>
      </c>
      <c r="Q48" s="20">
        <f>IF(Normy!$G$13="","",ROUND(Normy!$G$13*5*Parametry!$B$6/(Parametry!$B$4*(1-Parametry!$B$5)),1))</f>
        <v/>
      </c>
      <c r="R48" s="20">
        <f>IF(Normy!$G$13="","",ROUND(Normy!$G$13*5*Parametry!$B$6/(Parametry!$B$4*(1-Parametry!$B$5)),1))</f>
        <v/>
      </c>
      <c r="S48" s="20">
        <f>IF(Normy!$G$13="","",ROUND(Normy!$G$13*5*Parametry!$B$6/(Parametry!$B$4*(1-Parametry!$B$5)),1))</f>
        <v/>
      </c>
      <c r="T48" s="20">
        <f>IF(Normy!$G$13="","",ROUND(Normy!$G$13*5*Parametry!$B$6/(Parametry!$B$4*(1-Parametry!$B$5)),1))</f>
        <v/>
      </c>
      <c r="U48" s="20">
        <f>IF(Normy!$G$13="","",ROUND(Normy!$G$13*5*Parametry!$B$6/(Parametry!$B$4*(1-Parametry!$B$5)),1))</f>
        <v/>
      </c>
      <c r="V48" s="20">
        <f>IF(Normy!$G$13="","",ROUND(Normy!$G$13*5*Parametry!$B$6/(Parametry!$B$4*(1-Parametry!$B$5)),1))</f>
        <v/>
      </c>
      <c r="W48" s="20">
        <f>IF(Normy!$G$13="","",ROUND(Normy!$G$13*5*Parametry!$B$6/(Parametry!$B$4*(1-Parametry!$B$5)),1))</f>
        <v/>
      </c>
      <c r="X48" s="20">
        <f>IF(Normy!$G$13="","",ROUND(Normy!$G$13*5*Parametry!$B$6/(Parametry!$B$4*(1-Parametry!$B$5)),1))</f>
        <v/>
      </c>
      <c r="Y48" s="20">
        <f>IF(Normy!$G$13="","",ROUND(Normy!$G$13*5*Parametry!$B$6/(Parametry!$B$4*(1-Parametry!$B$5)),1))</f>
        <v/>
      </c>
      <c r="Z48" s="20">
        <f>IF(Normy!$G$13="","",ROUND(Normy!$G$13*5*Parametry!$B$6/(Parametry!$B$4*(1-Parametry!$B$5)),1))</f>
        <v/>
      </c>
      <c r="AA48" s="20">
        <f>IF(Normy!$G$13="","",ROUND(Normy!$G$13*5*Parametry!$B$6/(Parametry!$B$4*(1-Parametry!$B$5)),1))</f>
        <v/>
      </c>
      <c r="AB48" s="20">
        <f>IF(Normy!$G$13="","",ROUND(Normy!$G$13*5*Parametry!$B$6/(Parametry!$B$4*(1-Parametry!$B$5)),1))</f>
        <v/>
      </c>
      <c r="AC48" s="20">
        <f>IF(Normy!$G$13="","",ROUND(Normy!$G$13*5*Parametry!$B$6/(Parametry!$B$4*(1-Parametry!$B$5)),1))</f>
        <v/>
      </c>
      <c r="AD48" s="20">
        <f>IF(Normy!$G$13="","",ROUND(Normy!$G$13*5*Parametry!$B$6/(Parametry!$B$4*(1-Parametry!$B$5)),1))</f>
        <v/>
      </c>
      <c r="AE48" s="20">
        <f>IF(Normy!$G$13="","",ROUND(Normy!$G$13*5*Parametry!$B$6/(Parametry!$B$4*(1-Parametry!$B$5)),1))</f>
        <v/>
      </c>
      <c r="AF48" s="20">
        <f>IF(Normy!$G$13="","",ROUND(Normy!$G$13*5*Parametry!$B$6/(Parametry!$B$4*(1-Parametry!$B$5)),1))</f>
        <v/>
      </c>
      <c r="AG48" s="20">
        <f>IF(Normy!$G$13="","",ROUND(Normy!$G$13*5*Parametry!$B$6/(Parametry!$B$4*(1-Parametry!$B$5)),1))</f>
        <v/>
      </c>
      <c r="AH48" s="20">
        <f>IF(Normy!$G$13="","",ROUND(Normy!$G$13*5*Parametry!$B$6/(Parametry!$B$4*(1-Parametry!$B$5)),1))</f>
        <v/>
      </c>
      <c r="AI48" s="20">
        <f>IF(Normy!$G$13="","",ROUND(Normy!$G$13*5*Parametry!$B$6/(Parametry!$B$4*(1-Parametry!$B$5)),1))</f>
        <v/>
      </c>
      <c r="AJ48" s="20">
        <f>IF(Normy!$G$13="","",ROUND(Normy!$G$13*5*Parametry!$B$6/(Parametry!$B$4*(1-Parametry!$B$5)),1))</f>
        <v/>
      </c>
      <c r="AK48" s="20">
        <f>IF(Normy!$G$13="","",ROUND(Normy!$G$13*5*Parametry!$B$6/(Parametry!$B$4*(1-Parametry!$B$5)),1))</f>
        <v/>
      </c>
      <c r="AL48" s="20">
        <f>IF(Normy!$G$13="","",ROUND(Normy!$G$13*5*Parametry!$B$6/(Parametry!$B$4*(1-Parametry!$B$5)),1))</f>
        <v/>
      </c>
      <c r="AM48" s="20">
        <f>IF(Normy!$G$13="","",ROUND(Normy!$G$13*5*Parametry!$B$6/(Parametry!$B$4*(1-Parametry!$B$5)),1))</f>
        <v/>
      </c>
      <c r="AN48" s="20">
        <f>IF(Normy!$G$13="","",ROUND(Normy!$G$13*5*Parametry!$B$6/(Parametry!$B$4*(1-Parametry!$B$5)),1))</f>
        <v/>
      </c>
      <c r="AO48" s="20">
        <f>IF(Normy!$G$13="","",ROUND(Normy!$G$13*5*Parametry!$B$6/(Parametry!$B$4*(1-Parametry!$B$5)),1))</f>
        <v/>
      </c>
      <c r="AP48" s="20">
        <f>IF(Normy!$G$13="","",ROUND(Normy!$G$13*5*Parametry!$B$6/(Parametry!$B$4*(1-Parametry!$B$5)),1))</f>
        <v/>
      </c>
      <c r="AQ48" s="20">
        <f>IF(Normy!$G$13="","",ROUND(Normy!$G$13*5*Parametry!$B$6/(Parametry!$B$4*(1-Parametry!$B$5)),1))</f>
        <v/>
      </c>
      <c r="AR48" s="20">
        <f>IF(Normy!$G$13="","",ROUND(Normy!$G$13*5*Parametry!$B$6/(Parametry!$B$4*(1-Parametry!$B$5)),1))</f>
        <v/>
      </c>
      <c r="AS48" s="20">
        <f>IF(Normy!$G$13="","",ROUND(Normy!$G$13*5*Parametry!$B$6/(Parametry!$B$4*(1-Parametry!$B$5)),1))</f>
        <v/>
      </c>
      <c r="AT48" s="20">
        <f>IF(Normy!$G$13="","",ROUND(Normy!$G$13*5*Parametry!$B$6/(Parametry!$B$4*(1-Parametry!$B$5)),1))</f>
        <v/>
      </c>
      <c r="AU48" s="20">
        <f>IF(Normy!$G$13="","",ROUND(Normy!$G$13*5*Parametry!$B$6/(Parametry!$B$4*(1-Parametry!$B$5)),1))</f>
        <v/>
      </c>
      <c r="AV48" s="20">
        <f>IF(Normy!$G$13="","",ROUND(Normy!$G$13*5*Parametry!$B$6/(Parametry!$B$4*(1-Parametry!$B$5)),1))</f>
        <v/>
      </c>
      <c r="AW48" s="20">
        <f>IF(Normy!$G$13="","",ROUND(Normy!$G$13*5*Parametry!$B$6/(Parametry!$B$4*(1-Parametry!$B$5)),1))</f>
        <v/>
      </c>
      <c r="AX48" s="20">
        <f>IF(Normy!$G$13="","",ROUND(Normy!$G$13*5*Parametry!$B$6/(Parametry!$B$4*(1-Parametry!$B$5)),1))</f>
        <v/>
      </c>
      <c r="AY48" s="20">
        <f>IF(Normy!$G$13="","",ROUND(Normy!$G$13*5*Parametry!$B$6/(Parametry!$B$4*(1-Parametry!$B$5)),1))</f>
        <v/>
      </c>
      <c r="AZ48" s="20">
        <f>IF(Normy!$G$13="","",ROUND(Normy!$G$13*5*Parametry!$B$6/(Parametry!$B$4*(1-Parametry!$B$5)),1))</f>
        <v/>
      </c>
      <c r="BA48" s="20">
        <f>IF(Normy!$G$13="","",ROUND(Normy!$G$13*5*Parametry!$B$6/(Parametry!$B$4*(1-Parametry!$B$5)),1))</f>
        <v/>
      </c>
      <c r="BB48" s="20">
        <f>IF(Normy!$G$13="","",ROUND(Normy!$G$13*5*Parametry!$B$6/(Parametry!$B$4*(1-Parametry!$B$5)),1))</f>
        <v/>
      </c>
      <c r="BC48" s="20">
        <f>IF(Normy!$G$13="","",ROUND(Normy!$G$13*5*Parametry!$B$6/(Parametry!$B$4*(1-Parametry!$B$5)),1))</f>
        <v/>
      </c>
      <c r="BD48" s="20">
        <f>IF(Normy!$G$13="","",ROUND(Normy!$G$13*5*Parametry!$B$6/(Parametry!$B$4*(1-Parametry!$B$5)),1))</f>
        <v/>
      </c>
      <c r="BE48" s="20">
        <f>IF(Normy!$G$13="","",ROUND(Normy!$G$13*5*Parametry!$B$6/(Parametry!$B$4*(1-Parametry!$B$5)),1))</f>
        <v/>
      </c>
      <c r="BF48" s="20">
        <f>IF(Normy!$G$13="","",ROUND(Normy!$G$13*5*Parametry!$B$6/(Parametry!$B$4*(1-Parametry!$B$5)),1))</f>
        <v/>
      </c>
      <c r="BG48" s="20">
        <f>IF(Normy!$G$13="","",ROUND(Normy!$G$13*5*Parametry!$B$6/(Parametry!$B$4*(1-Parametry!$B$5)),1))</f>
        <v/>
      </c>
      <c r="BH48" s="20">
        <f>IF(Normy!$G$13="","",ROUND(Normy!$G$13*5*Parametry!$B$6/(Parametry!$B$4*(1-Parametry!$B$5)),1))</f>
        <v/>
      </c>
      <c r="BI48" s="20">
        <f>IF(Normy!$G$13="","",ROUND(Normy!$G$13*5*Parametry!$B$6/(Parametry!$B$4*(1-Parametry!$B$5)),1))</f>
        <v/>
      </c>
      <c r="BJ48" s="20">
        <f>IF(Normy!$G$13="","",ROUND(Normy!$G$13*5*Parametry!$B$6/(Parametry!$B$4*(1-Parametry!$B$5)),1))</f>
        <v/>
      </c>
      <c r="BK48" s="20">
        <f>IF(Normy!$G$13="","",ROUND(Normy!$G$13*5*Parametry!$B$6/(Parametry!$B$4*(1-Parametry!$B$5)),1))</f>
        <v/>
      </c>
      <c r="BL48" s="20">
        <f>IF(Normy!$G$13="","",ROUND(Normy!$G$13*5*Parametry!$B$6/(Parametry!$B$4*(1-Parametry!$B$5)),1))</f>
        <v/>
      </c>
      <c r="BM48" s="20">
        <f>IF(Normy!$G$13="","",ROUND(Normy!$G$13*5*Parametry!$B$6/(Parametry!$B$4*(1-Parametry!$B$5)),1))</f>
        <v/>
      </c>
    </row>
    <row r="49">
      <c r="A49" s="19" t="n"/>
      <c r="B49" s="4" t="inlineStr">
        <is>
          <t>Gap FTE (skut. − potřeba)</t>
        </is>
      </c>
      <c r="C49" s="20">
        <f>IF(OR(C48="",C47=""),"",C48-C47)</f>
        <v/>
      </c>
      <c r="D49" s="20">
        <f>IF(OR(D48="",D47=""),"",D48-D47)</f>
        <v/>
      </c>
      <c r="E49" s="20">
        <f>IF(OR(E48="",E47=""),"",E48-E47)</f>
        <v/>
      </c>
      <c r="F49" s="20">
        <f>IF(OR(F48="",F47=""),"",F48-F47)</f>
        <v/>
      </c>
      <c r="G49" s="20">
        <f>IF(OR(G48="",G47=""),"",G48-G47)</f>
        <v/>
      </c>
      <c r="H49" s="20">
        <f>IF(OR(H48="",H47=""),"",H48-H47)</f>
        <v/>
      </c>
      <c r="I49" s="20">
        <f>IF(OR(I48="",I47=""),"",I48-I47)</f>
        <v/>
      </c>
      <c r="J49" s="20">
        <f>IF(OR(J48="",J47=""),"",J48-J47)</f>
        <v/>
      </c>
      <c r="K49" s="20">
        <f>IF(OR(K48="",K47=""),"",K48-K47)</f>
        <v/>
      </c>
      <c r="L49" s="20">
        <f>IF(OR(L48="",L47=""),"",L48-L47)</f>
        <v/>
      </c>
      <c r="M49" s="20">
        <f>IF(OR(M48="",M47=""),"",M48-M47)</f>
        <v/>
      </c>
      <c r="N49" s="20">
        <f>IF(OR(N48="",N47=""),"",N48-N47)</f>
        <v/>
      </c>
      <c r="O49" s="20">
        <f>IF(OR(O48="",O47=""),"",O48-O47)</f>
        <v/>
      </c>
      <c r="P49" s="20">
        <f>IF(OR(P48="",P47=""),"",P48-P47)</f>
        <v/>
      </c>
      <c r="Q49" s="20">
        <f>IF(OR(Q48="",Q47=""),"",Q48-Q47)</f>
        <v/>
      </c>
      <c r="R49" s="20">
        <f>IF(OR(R48="",R47=""),"",R48-R47)</f>
        <v/>
      </c>
      <c r="S49" s="20">
        <f>IF(OR(S48="",S47=""),"",S48-S47)</f>
        <v/>
      </c>
      <c r="T49" s="20">
        <f>IF(OR(T48="",T47=""),"",T48-T47)</f>
        <v/>
      </c>
      <c r="U49" s="20">
        <f>IF(OR(U48="",U47=""),"",U48-U47)</f>
        <v/>
      </c>
      <c r="V49" s="20">
        <f>IF(OR(V48="",V47=""),"",V48-V47)</f>
        <v/>
      </c>
      <c r="W49" s="20">
        <f>IF(OR(W48="",W47=""),"",W48-W47)</f>
        <v/>
      </c>
      <c r="X49" s="20">
        <f>IF(OR(X48="",X47=""),"",X48-X47)</f>
        <v/>
      </c>
      <c r="Y49" s="20">
        <f>IF(OR(Y48="",Y47=""),"",Y48-Y47)</f>
        <v/>
      </c>
      <c r="Z49" s="20">
        <f>IF(OR(Z48="",Z47=""),"",Z48-Z47)</f>
        <v/>
      </c>
      <c r="AA49" s="20">
        <f>IF(OR(AA48="",AA47=""),"",AA48-AA47)</f>
        <v/>
      </c>
      <c r="AB49" s="20">
        <f>IF(OR(AB48="",AB47=""),"",AB48-AB47)</f>
        <v/>
      </c>
      <c r="AC49" s="20">
        <f>IF(OR(AC48="",AC47=""),"",AC48-AC47)</f>
        <v/>
      </c>
      <c r="AD49" s="20">
        <f>IF(OR(AD48="",AD47=""),"",AD48-AD47)</f>
        <v/>
      </c>
      <c r="AE49" s="20">
        <f>IF(OR(AE48="",AE47=""),"",AE48-AE47)</f>
        <v/>
      </c>
      <c r="AF49" s="20">
        <f>IF(OR(AF48="",AF47=""),"",AF48-AF47)</f>
        <v/>
      </c>
      <c r="AG49" s="20">
        <f>IF(OR(AG48="",AG47=""),"",AG48-AG47)</f>
        <v/>
      </c>
      <c r="AH49" s="20">
        <f>IF(OR(AH48="",AH47=""),"",AH48-AH47)</f>
        <v/>
      </c>
      <c r="AI49" s="20">
        <f>IF(OR(AI48="",AI47=""),"",AI48-AI47)</f>
        <v/>
      </c>
      <c r="AJ49" s="20">
        <f>IF(OR(AJ48="",AJ47=""),"",AJ48-AJ47)</f>
        <v/>
      </c>
      <c r="AK49" s="20">
        <f>IF(OR(AK48="",AK47=""),"",AK48-AK47)</f>
        <v/>
      </c>
      <c r="AL49" s="20">
        <f>IF(OR(AL48="",AL47=""),"",AL48-AL47)</f>
        <v/>
      </c>
      <c r="AM49" s="20">
        <f>IF(OR(AM48="",AM47=""),"",AM48-AM47)</f>
        <v/>
      </c>
      <c r="AN49" s="20">
        <f>IF(OR(AN48="",AN47=""),"",AN48-AN47)</f>
        <v/>
      </c>
      <c r="AO49" s="20">
        <f>IF(OR(AO48="",AO47=""),"",AO48-AO47)</f>
        <v/>
      </c>
      <c r="AP49" s="20">
        <f>IF(OR(AP48="",AP47=""),"",AP48-AP47)</f>
        <v/>
      </c>
      <c r="AQ49" s="20">
        <f>IF(OR(AQ48="",AQ47=""),"",AQ48-AQ47)</f>
        <v/>
      </c>
      <c r="AR49" s="20">
        <f>IF(OR(AR48="",AR47=""),"",AR48-AR47)</f>
        <v/>
      </c>
      <c r="AS49" s="20">
        <f>IF(OR(AS48="",AS47=""),"",AS48-AS47)</f>
        <v/>
      </c>
      <c r="AT49" s="20">
        <f>IF(OR(AT48="",AT47=""),"",AT48-AT47)</f>
        <v/>
      </c>
      <c r="AU49" s="20">
        <f>IF(OR(AU48="",AU47=""),"",AU48-AU47)</f>
        <v/>
      </c>
      <c r="AV49" s="20">
        <f>IF(OR(AV48="",AV47=""),"",AV48-AV47)</f>
        <v/>
      </c>
      <c r="AW49" s="20">
        <f>IF(OR(AW48="",AW47=""),"",AW48-AW47)</f>
        <v/>
      </c>
      <c r="AX49" s="20">
        <f>IF(OR(AX48="",AX47=""),"",AX48-AX47)</f>
        <v/>
      </c>
      <c r="AY49" s="20">
        <f>IF(OR(AY48="",AY47=""),"",AY48-AY47)</f>
        <v/>
      </c>
      <c r="AZ49" s="20">
        <f>IF(OR(AZ48="",AZ47=""),"",AZ48-AZ47)</f>
        <v/>
      </c>
      <c r="BA49" s="20">
        <f>IF(OR(BA48="",BA47=""),"",BA48-BA47)</f>
        <v/>
      </c>
      <c r="BB49" s="20">
        <f>IF(OR(BB48="",BB47=""),"",BB48-BB47)</f>
        <v/>
      </c>
      <c r="BC49" s="20">
        <f>IF(OR(BC48="",BC47=""),"",BC48-BC47)</f>
        <v/>
      </c>
      <c r="BD49" s="20">
        <f>IF(OR(BD48="",BD47=""),"",BD48-BD47)</f>
        <v/>
      </c>
      <c r="BE49" s="20">
        <f>IF(OR(BE48="",BE47=""),"",BE48-BE47)</f>
        <v/>
      </c>
      <c r="BF49" s="20">
        <f>IF(OR(BF48="",BF47=""),"",BF48-BF47)</f>
        <v/>
      </c>
      <c r="BG49" s="20">
        <f>IF(OR(BG48="",BG47=""),"",BG48-BG47)</f>
        <v/>
      </c>
      <c r="BH49" s="20">
        <f>IF(OR(BH48="",BH47=""),"",BH48-BH47)</f>
        <v/>
      </c>
      <c r="BI49" s="20">
        <f>IF(OR(BI48="",BI47=""),"",BI48-BI47)</f>
        <v/>
      </c>
      <c r="BJ49" s="20">
        <f>IF(OR(BJ48="",BJ47=""),"",BJ48-BJ47)</f>
        <v/>
      </c>
      <c r="BK49" s="20">
        <f>IF(OR(BK48="",BK47=""),"",BK48-BK47)</f>
        <v/>
      </c>
      <c r="BL49" s="20">
        <f>IF(OR(BL48="",BL47=""),"",BL48-BL47)</f>
        <v/>
      </c>
      <c r="BM49" s="20">
        <f>IF(OR(BM48="",BM47=""),"",BM48-BM47)</f>
        <v/>
      </c>
    </row>
    <row r="50">
      <c r="A50" s="18" t="inlineStr">
        <is>
          <t>PO455</t>
        </is>
      </c>
      <c r="B50" s="4" t="inlineStr">
        <is>
          <t>Potřebné směny (8h)</t>
        </is>
      </c>
      <c r="C50" s="4">
        <f>IF(OR(Normy!$C$14="",'Volume po lince'!B13=0),"",ROUNDUP('Volume po lince'!B13/(Normy!$C$14*IF(Normy!$D$14="",Parametry!$B$7,Normy!$D$14)),0))</f>
        <v/>
      </c>
      <c r="D50" s="4">
        <f>IF(OR(Normy!$C$14="",'Volume po lince'!C13=0),"",ROUNDUP('Volume po lince'!C13/(Normy!$C$14*IF(Normy!$D$14="",Parametry!$B$7,Normy!$D$14)),0))</f>
        <v/>
      </c>
      <c r="E50" s="4">
        <f>IF(OR(Normy!$C$14="",'Volume po lince'!D13=0),"",ROUNDUP('Volume po lince'!D13/(Normy!$C$14*IF(Normy!$D$14="",Parametry!$B$7,Normy!$D$14)),0))</f>
        <v/>
      </c>
      <c r="F50" s="4">
        <f>IF(OR(Normy!$C$14="",'Volume po lince'!E13=0),"",ROUNDUP('Volume po lince'!E13/(Normy!$C$14*IF(Normy!$D$14="",Parametry!$B$7,Normy!$D$14)),0))</f>
        <v/>
      </c>
      <c r="G50" s="4">
        <f>IF(OR(Normy!$C$14="",'Volume po lince'!F13=0),"",ROUNDUP('Volume po lince'!F13/(Normy!$C$14*IF(Normy!$D$14="",Parametry!$B$7,Normy!$D$14)),0))</f>
        <v/>
      </c>
      <c r="H50" s="4">
        <f>IF(OR(Normy!$C$14="",'Volume po lince'!G13=0),"",ROUNDUP('Volume po lince'!G13/(Normy!$C$14*IF(Normy!$D$14="",Parametry!$B$7,Normy!$D$14)),0))</f>
        <v/>
      </c>
      <c r="I50" s="4">
        <f>IF(OR(Normy!$C$14="",'Volume po lince'!H13=0),"",ROUNDUP('Volume po lince'!H13/(Normy!$C$14*IF(Normy!$D$14="",Parametry!$B$7,Normy!$D$14)),0))</f>
        <v/>
      </c>
      <c r="J50" s="4">
        <f>IF(OR(Normy!$C$14="",'Volume po lince'!I13=0),"",ROUNDUP('Volume po lince'!I13/(Normy!$C$14*IF(Normy!$D$14="",Parametry!$B$7,Normy!$D$14)),0))</f>
        <v/>
      </c>
      <c r="K50" s="4">
        <f>IF(OR(Normy!$C$14="",'Volume po lince'!J13=0),"",ROUNDUP('Volume po lince'!J13/(Normy!$C$14*IF(Normy!$D$14="",Parametry!$B$7,Normy!$D$14)),0))</f>
        <v/>
      </c>
      <c r="L50" s="4">
        <f>IF(OR(Normy!$C$14="",'Volume po lince'!K13=0),"",ROUNDUP('Volume po lince'!K13/(Normy!$C$14*IF(Normy!$D$14="",Parametry!$B$7,Normy!$D$14)),0))</f>
        <v/>
      </c>
      <c r="M50" s="4">
        <f>IF(OR(Normy!$C$14="",'Volume po lince'!L13=0),"",ROUNDUP('Volume po lince'!L13/(Normy!$C$14*IF(Normy!$D$14="",Parametry!$B$7,Normy!$D$14)),0))</f>
        <v/>
      </c>
      <c r="N50" s="4">
        <f>IF(OR(Normy!$C$14="",'Volume po lince'!M13=0),"",ROUNDUP('Volume po lince'!M13/(Normy!$C$14*IF(Normy!$D$14="",Parametry!$B$7,Normy!$D$14)),0))</f>
        <v/>
      </c>
      <c r="O50" s="4">
        <f>IF(OR(Normy!$C$14="",'Volume po lince'!N13=0),"",ROUNDUP('Volume po lince'!N13/(Normy!$C$14*IF(Normy!$D$14="",Parametry!$B$7,Normy!$D$14)),0))</f>
        <v/>
      </c>
      <c r="P50" s="4">
        <f>IF(OR(Normy!$C$14="",'Volume po lince'!O13=0),"",ROUNDUP('Volume po lince'!O13/(Normy!$C$14*IF(Normy!$D$14="",Parametry!$B$7,Normy!$D$14)),0))</f>
        <v/>
      </c>
      <c r="Q50" s="4">
        <f>IF(OR(Normy!$C$14="",'Volume po lince'!P13=0),"",ROUNDUP('Volume po lince'!P13/(Normy!$C$14*IF(Normy!$D$14="",Parametry!$B$7,Normy!$D$14)),0))</f>
        <v/>
      </c>
      <c r="R50" s="4">
        <f>IF(OR(Normy!$C$14="",'Volume po lince'!Q13=0),"",ROUNDUP('Volume po lince'!Q13/(Normy!$C$14*IF(Normy!$D$14="",Parametry!$B$7,Normy!$D$14)),0))</f>
        <v/>
      </c>
      <c r="S50" s="4">
        <f>IF(OR(Normy!$C$14="",'Volume po lince'!R13=0),"",ROUNDUP('Volume po lince'!R13/(Normy!$C$14*IF(Normy!$D$14="",Parametry!$B$7,Normy!$D$14)),0))</f>
        <v/>
      </c>
      <c r="T50" s="4">
        <f>IF(OR(Normy!$C$14="",'Volume po lince'!S13=0),"",ROUNDUP('Volume po lince'!S13/(Normy!$C$14*IF(Normy!$D$14="",Parametry!$B$7,Normy!$D$14)),0))</f>
        <v/>
      </c>
      <c r="U50" s="4">
        <f>IF(OR(Normy!$C$14="",'Volume po lince'!T13=0),"",ROUNDUP('Volume po lince'!T13/(Normy!$C$14*IF(Normy!$D$14="",Parametry!$B$7,Normy!$D$14)),0))</f>
        <v/>
      </c>
      <c r="V50" s="4">
        <f>IF(OR(Normy!$C$14="",'Volume po lince'!U13=0),"",ROUNDUP('Volume po lince'!U13/(Normy!$C$14*IF(Normy!$D$14="",Parametry!$B$7,Normy!$D$14)),0))</f>
        <v/>
      </c>
      <c r="W50" s="4">
        <f>IF(OR(Normy!$C$14="",'Volume po lince'!V13=0),"",ROUNDUP('Volume po lince'!V13/(Normy!$C$14*IF(Normy!$D$14="",Parametry!$B$7,Normy!$D$14)),0))</f>
        <v/>
      </c>
      <c r="X50" s="4">
        <f>IF(OR(Normy!$C$14="",'Volume po lince'!W13=0),"",ROUNDUP('Volume po lince'!W13/(Normy!$C$14*IF(Normy!$D$14="",Parametry!$B$7,Normy!$D$14)),0))</f>
        <v/>
      </c>
      <c r="Y50" s="4">
        <f>IF(OR(Normy!$C$14="",'Volume po lince'!X13=0),"",ROUNDUP('Volume po lince'!X13/(Normy!$C$14*IF(Normy!$D$14="",Parametry!$B$7,Normy!$D$14)),0))</f>
        <v/>
      </c>
      <c r="Z50" s="4">
        <f>IF(OR(Normy!$C$14="",'Volume po lince'!Y13=0),"",ROUNDUP('Volume po lince'!Y13/(Normy!$C$14*IF(Normy!$D$14="",Parametry!$B$7,Normy!$D$14)),0))</f>
        <v/>
      </c>
      <c r="AA50" s="4">
        <f>IF(OR(Normy!$C$14="",'Volume po lince'!Z13=0),"",ROUNDUP('Volume po lince'!Z13/(Normy!$C$14*IF(Normy!$D$14="",Parametry!$B$7,Normy!$D$14)),0))</f>
        <v/>
      </c>
      <c r="AB50" s="4">
        <f>IF(OR(Normy!$C$14="",'Volume po lince'!AA13=0),"",ROUNDUP('Volume po lince'!AA13/(Normy!$C$14*IF(Normy!$D$14="",Parametry!$B$7,Normy!$D$14)),0))</f>
        <v/>
      </c>
      <c r="AC50" s="4">
        <f>IF(OR(Normy!$C$14="",'Volume po lince'!AB13=0),"",ROUNDUP('Volume po lince'!AB13/(Normy!$C$14*IF(Normy!$D$14="",Parametry!$B$7,Normy!$D$14)),0))</f>
        <v/>
      </c>
      <c r="AD50" s="4">
        <f>IF(OR(Normy!$C$14="",'Volume po lince'!AC13=0),"",ROUNDUP('Volume po lince'!AC13/(Normy!$C$14*IF(Normy!$D$14="",Parametry!$B$7,Normy!$D$14)),0))</f>
        <v/>
      </c>
      <c r="AE50" s="4">
        <f>IF(OR(Normy!$C$14="",'Volume po lince'!AD13=0),"",ROUNDUP('Volume po lince'!AD13/(Normy!$C$14*IF(Normy!$D$14="",Parametry!$B$7,Normy!$D$14)),0))</f>
        <v/>
      </c>
      <c r="AF50" s="4">
        <f>IF(OR(Normy!$C$14="",'Volume po lince'!AE13=0),"",ROUNDUP('Volume po lince'!AE13/(Normy!$C$14*IF(Normy!$D$14="",Parametry!$B$7,Normy!$D$14)),0))</f>
        <v/>
      </c>
      <c r="AG50" s="4">
        <f>IF(OR(Normy!$C$14="",'Volume po lince'!AF13=0),"",ROUNDUP('Volume po lince'!AF13/(Normy!$C$14*IF(Normy!$D$14="",Parametry!$B$7,Normy!$D$14)),0))</f>
        <v/>
      </c>
      <c r="AH50" s="4">
        <f>IF(OR(Normy!$C$14="",'Volume po lince'!AG13=0),"",ROUNDUP('Volume po lince'!AG13/(Normy!$C$14*IF(Normy!$D$14="",Parametry!$B$7,Normy!$D$14)),0))</f>
        <v/>
      </c>
      <c r="AI50" s="4">
        <f>IF(OR(Normy!$C$14="",'Volume po lince'!AH13=0),"",ROUNDUP('Volume po lince'!AH13/(Normy!$C$14*IF(Normy!$D$14="",Parametry!$B$7,Normy!$D$14)),0))</f>
        <v/>
      </c>
      <c r="AJ50" s="4">
        <f>IF(OR(Normy!$C$14="",'Volume po lince'!AI13=0),"",ROUNDUP('Volume po lince'!AI13/(Normy!$C$14*IF(Normy!$D$14="",Parametry!$B$7,Normy!$D$14)),0))</f>
        <v/>
      </c>
      <c r="AK50" s="4">
        <f>IF(OR(Normy!$C$14="",'Volume po lince'!AJ13=0),"",ROUNDUP('Volume po lince'!AJ13/(Normy!$C$14*IF(Normy!$D$14="",Parametry!$B$7,Normy!$D$14)),0))</f>
        <v/>
      </c>
      <c r="AL50" s="4">
        <f>IF(OR(Normy!$C$14="",'Volume po lince'!AK13=0),"",ROUNDUP('Volume po lince'!AK13/(Normy!$C$14*IF(Normy!$D$14="",Parametry!$B$7,Normy!$D$14)),0))</f>
        <v/>
      </c>
      <c r="AM50" s="4">
        <f>IF(OR(Normy!$C$14="",'Volume po lince'!AL13=0),"",ROUNDUP('Volume po lince'!AL13/(Normy!$C$14*IF(Normy!$D$14="",Parametry!$B$7,Normy!$D$14)),0))</f>
        <v/>
      </c>
      <c r="AN50" s="4">
        <f>IF(OR(Normy!$C$14="",'Volume po lince'!AM13=0),"",ROUNDUP('Volume po lince'!AM13/(Normy!$C$14*IF(Normy!$D$14="",Parametry!$B$7,Normy!$D$14)),0))</f>
        <v/>
      </c>
      <c r="AO50" s="4">
        <f>IF(OR(Normy!$C$14="",'Volume po lince'!AN13=0),"",ROUNDUP('Volume po lince'!AN13/(Normy!$C$14*IF(Normy!$D$14="",Parametry!$B$7,Normy!$D$14)),0))</f>
        <v/>
      </c>
      <c r="AP50" s="4">
        <f>IF(OR(Normy!$C$14="",'Volume po lince'!AO13=0),"",ROUNDUP('Volume po lince'!AO13/(Normy!$C$14*IF(Normy!$D$14="",Parametry!$B$7,Normy!$D$14)),0))</f>
        <v/>
      </c>
      <c r="AQ50" s="4">
        <f>IF(OR(Normy!$C$14="",'Volume po lince'!AP13=0),"",ROUNDUP('Volume po lince'!AP13/(Normy!$C$14*IF(Normy!$D$14="",Parametry!$B$7,Normy!$D$14)),0))</f>
        <v/>
      </c>
      <c r="AR50" s="4">
        <f>IF(OR(Normy!$C$14="",'Volume po lince'!AQ13=0),"",ROUNDUP('Volume po lince'!AQ13/(Normy!$C$14*IF(Normy!$D$14="",Parametry!$B$7,Normy!$D$14)),0))</f>
        <v/>
      </c>
      <c r="AS50" s="4">
        <f>IF(OR(Normy!$C$14="",'Volume po lince'!AR13=0),"",ROUNDUP('Volume po lince'!AR13/(Normy!$C$14*IF(Normy!$D$14="",Parametry!$B$7,Normy!$D$14)),0))</f>
        <v/>
      </c>
      <c r="AT50" s="4">
        <f>IF(OR(Normy!$C$14="",'Volume po lince'!AS13=0),"",ROUNDUP('Volume po lince'!AS13/(Normy!$C$14*IF(Normy!$D$14="",Parametry!$B$7,Normy!$D$14)),0))</f>
        <v/>
      </c>
      <c r="AU50" s="4">
        <f>IF(OR(Normy!$C$14="",'Volume po lince'!AT13=0),"",ROUNDUP('Volume po lince'!AT13/(Normy!$C$14*IF(Normy!$D$14="",Parametry!$B$7,Normy!$D$14)),0))</f>
        <v/>
      </c>
      <c r="AV50" s="4">
        <f>IF(OR(Normy!$C$14="",'Volume po lince'!AU13=0),"",ROUNDUP('Volume po lince'!AU13/(Normy!$C$14*IF(Normy!$D$14="",Parametry!$B$7,Normy!$D$14)),0))</f>
        <v/>
      </c>
      <c r="AW50" s="4">
        <f>IF(OR(Normy!$C$14="",'Volume po lince'!AV13=0),"",ROUNDUP('Volume po lince'!AV13/(Normy!$C$14*IF(Normy!$D$14="",Parametry!$B$7,Normy!$D$14)),0))</f>
        <v/>
      </c>
      <c r="AX50" s="4">
        <f>IF(OR(Normy!$C$14="",'Volume po lince'!AW13=0),"",ROUNDUP('Volume po lince'!AW13/(Normy!$C$14*IF(Normy!$D$14="",Parametry!$B$7,Normy!$D$14)),0))</f>
        <v/>
      </c>
      <c r="AY50" s="4">
        <f>IF(OR(Normy!$C$14="",'Volume po lince'!AX13=0),"",ROUNDUP('Volume po lince'!AX13/(Normy!$C$14*IF(Normy!$D$14="",Parametry!$B$7,Normy!$D$14)),0))</f>
        <v/>
      </c>
      <c r="AZ50" s="4">
        <f>IF(OR(Normy!$C$14="",'Volume po lince'!AY13=0),"",ROUNDUP('Volume po lince'!AY13/(Normy!$C$14*IF(Normy!$D$14="",Parametry!$B$7,Normy!$D$14)),0))</f>
        <v/>
      </c>
      <c r="BA50" s="4">
        <f>IF(OR(Normy!$C$14="",'Volume po lince'!AZ13=0),"",ROUNDUP('Volume po lince'!AZ13/(Normy!$C$14*IF(Normy!$D$14="",Parametry!$B$7,Normy!$D$14)),0))</f>
        <v/>
      </c>
      <c r="BB50" s="4">
        <f>IF(OR(Normy!$C$14="",'Volume po lince'!BA13=0),"",ROUNDUP('Volume po lince'!BA13/(Normy!$C$14*IF(Normy!$D$14="",Parametry!$B$7,Normy!$D$14)),0))</f>
        <v/>
      </c>
      <c r="BC50" s="4">
        <f>IF(OR(Normy!$C$14="",'Volume po lince'!BB13=0),"",ROUNDUP('Volume po lince'!BB13/(Normy!$C$14*IF(Normy!$D$14="",Parametry!$B$7,Normy!$D$14)),0))</f>
        <v/>
      </c>
      <c r="BD50" s="4">
        <f>IF(OR(Normy!$C$14="",'Volume po lince'!BC13=0),"",ROUNDUP('Volume po lince'!BC13/(Normy!$C$14*IF(Normy!$D$14="",Parametry!$B$7,Normy!$D$14)),0))</f>
        <v/>
      </c>
      <c r="BE50" s="4">
        <f>IF(OR(Normy!$C$14="",'Volume po lince'!BD13=0),"",ROUNDUP('Volume po lince'!BD13/(Normy!$C$14*IF(Normy!$D$14="",Parametry!$B$7,Normy!$D$14)),0))</f>
        <v/>
      </c>
      <c r="BF50" s="4">
        <f>IF(OR(Normy!$C$14="",'Volume po lince'!BE13=0),"",ROUNDUP('Volume po lince'!BE13/(Normy!$C$14*IF(Normy!$D$14="",Parametry!$B$7,Normy!$D$14)),0))</f>
        <v/>
      </c>
      <c r="BG50" s="4">
        <f>IF(OR(Normy!$C$14="",'Volume po lince'!BF13=0),"",ROUNDUP('Volume po lince'!BF13/(Normy!$C$14*IF(Normy!$D$14="",Parametry!$B$7,Normy!$D$14)),0))</f>
        <v/>
      </c>
      <c r="BH50" s="4">
        <f>IF(OR(Normy!$C$14="",'Volume po lince'!BG13=0),"",ROUNDUP('Volume po lince'!BG13/(Normy!$C$14*IF(Normy!$D$14="",Parametry!$B$7,Normy!$D$14)),0))</f>
        <v/>
      </c>
      <c r="BI50" s="4">
        <f>IF(OR(Normy!$C$14="",'Volume po lince'!BH13=0),"",ROUNDUP('Volume po lince'!BH13/(Normy!$C$14*IF(Normy!$D$14="",Parametry!$B$7,Normy!$D$14)),0))</f>
        <v/>
      </c>
      <c r="BJ50" s="4">
        <f>IF(OR(Normy!$C$14="",'Volume po lince'!BI13=0),"",ROUNDUP('Volume po lince'!BI13/(Normy!$C$14*IF(Normy!$D$14="",Parametry!$B$7,Normy!$D$14)),0))</f>
        <v/>
      </c>
      <c r="BK50" s="4">
        <f>IF(OR(Normy!$C$14="",'Volume po lince'!BJ13=0),"",ROUNDUP('Volume po lince'!BJ13/(Normy!$C$14*IF(Normy!$D$14="",Parametry!$B$7,Normy!$D$14)),0))</f>
        <v/>
      </c>
      <c r="BL50" s="4">
        <f>IF(OR(Normy!$C$14="",'Volume po lince'!BK13=0),"",ROUNDUP('Volume po lince'!BK13/(Normy!$C$14*IF(Normy!$D$14="",Parametry!$B$7,Normy!$D$14)),0))</f>
        <v/>
      </c>
      <c r="BM50" s="4">
        <f>IF(OR(Normy!$C$14="",'Volume po lince'!BL13=0),"",ROUNDUP('Volume po lince'!BL13/(Normy!$C$14*IF(Normy!$D$14="",Parametry!$B$7,Normy!$D$14)),0))</f>
        <v/>
      </c>
    </row>
    <row r="51">
      <c r="A51" s="19" t="n"/>
      <c r="B51" s="4" t="inlineStr">
        <is>
          <t>OP-směn</t>
        </is>
      </c>
      <c r="C51" s="4">
        <f>IF(OR(C50="",Normy!$E$14=""),"",C50*Normy!$E$14)</f>
        <v/>
      </c>
      <c r="D51" s="4">
        <f>IF(OR(D50="",Normy!$E$14=""),"",D50*Normy!$E$14)</f>
        <v/>
      </c>
      <c r="E51" s="4">
        <f>IF(OR(E50="",Normy!$E$14=""),"",E50*Normy!$E$14)</f>
        <v/>
      </c>
      <c r="F51" s="4">
        <f>IF(OR(F50="",Normy!$E$14=""),"",F50*Normy!$E$14)</f>
        <v/>
      </c>
      <c r="G51" s="4">
        <f>IF(OR(G50="",Normy!$E$14=""),"",G50*Normy!$E$14)</f>
        <v/>
      </c>
      <c r="H51" s="4">
        <f>IF(OR(H50="",Normy!$E$14=""),"",H50*Normy!$E$14)</f>
        <v/>
      </c>
      <c r="I51" s="4">
        <f>IF(OR(I50="",Normy!$E$14=""),"",I50*Normy!$E$14)</f>
        <v/>
      </c>
      <c r="J51" s="4">
        <f>IF(OR(J50="",Normy!$E$14=""),"",J50*Normy!$E$14)</f>
        <v/>
      </c>
      <c r="K51" s="4">
        <f>IF(OR(K50="",Normy!$E$14=""),"",K50*Normy!$E$14)</f>
        <v/>
      </c>
      <c r="L51" s="4">
        <f>IF(OR(L50="",Normy!$E$14=""),"",L50*Normy!$E$14)</f>
        <v/>
      </c>
      <c r="M51" s="4">
        <f>IF(OR(M50="",Normy!$E$14=""),"",M50*Normy!$E$14)</f>
        <v/>
      </c>
      <c r="N51" s="4">
        <f>IF(OR(N50="",Normy!$E$14=""),"",N50*Normy!$E$14)</f>
        <v/>
      </c>
      <c r="O51" s="4">
        <f>IF(OR(O50="",Normy!$E$14=""),"",O50*Normy!$E$14)</f>
        <v/>
      </c>
      <c r="P51" s="4">
        <f>IF(OR(P50="",Normy!$E$14=""),"",P50*Normy!$E$14)</f>
        <v/>
      </c>
      <c r="Q51" s="4">
        <f>IF(OR(Q50="",Normy!$E$14=""),"",Q50*Normy!$E$14)</f>
        <v/>
      </c>
      <c r="R51" s="4">
        <f>IF(OR(R50="",Normy!$E$14=""),"",R50*Normy!$E$14)</f>
        <v/>
      </c>
      <c r="S51" s="4">
        <f>IF(OR(S50="",Normy!$E$14=""),"",S50*Normy!$E$14)</f>
        <v/>
      </c>
      <c r="T51" s="4">
        <f>IF(OR(T50="",Normy!$E$14=""),"",T50*Normy!$E$14)</f>
        <v/>
      </c>
      <c r="U51" s="4">
        <f>IF(OR(U50="",Normy!$E$14=""),"",U50*Normy!$E$14)</f>
        <v/>
      </c>
      <c r="V51" s="4">
        <f>IF(OR(V50="",Normy!$E$14=""),"",V50*Normy!$E$14)</f>
        <v/>
      </c>
      <c r="W51" s="4">
        <f>IF(OR(W50="",Normy!$E$14=""),"",W50*Normy!$E$14)</f>
        <v/>
      </c>
      <c r="X51" s="4">
        <f>IF(OR(X50="",Normy!$E$14=""),"",X50*Normy!$E$14)</f>
        <v/>
      </c>
      <c r="Y51" s="4">
        <f>IF(OR(Y50="",Normy!$E$14=""),"",Y50*Normy!$E$14)</f>
        <v/>
      </c>
      <c r="Z51" s="4">
        <f>IF(OR(Z50="",Normy!$E$14=""),"",Z50*Normy!$E$14)</f>
        <v/>
      </c>
      <c r="AA51" s="4">
        <f>IF(OR(AA50="",Normy!$E$14=""),"",AA50*Normy!$E$14)</f>
        <v/>
      </c>
      <c r="AB51" s="4">
        <f>IF(OR(AB50="",Normy!$E$14=""),"",AB50*Normy!$E$14)</f>
        <v/>
      </c>
      <c r="AC51" s="4">
        <f>IF(OR(AC50="",Normy!$E$14=""),"",AC50*Normy!$E$14)</f>
        <v/>
      </c>
      <c r="AD51" s="4">
        <f>IF(OR(AD50="",Normy!$E$14=""),"",AD50*Normy!$E$14)</f>
        <v/>
      </c>
      <c r="AE51" s="4">
        <f>IF(OR(AE50="",Normy!$E$14=""),"",AE50*Normy!$E$14)</f>
        <v/>
      </c>
      <c r="AF51" s="4">
        <f>IF(OR(AF50="",Normy!$E$14=""),"",AF50*Normy!$E$14)</f>
        <v/>
      </c>
      <c r="AG51" s="4">
        <f>IF(OR(AG50="",Normy!$E$14=""),"",AG50*Normy!$E$14)</f>
        <v/>
      </c>
      <c r="AH51" s="4">
        <f>IF(OR(AH50="",Normy!$E$14=""),"",AH50*Normy!$E$14)</f>
        <v/>
      </c>
      <c r="AI51" s="4">
        <f>IF(OR(AI50="",Normy!$E$14=""),"",AI50*Normy!$E$14)</f>
        <v/>
      </c>
      <c r="AJ51" s="4">
        <f>IF(OR(AJ50="",Normy!$E$14=""),"",AJ50*Normy!$E$14)</f>
        <v/>
      </c>
      <c r="AK51" s="4">
        <f>IF(OR(AK50="",Normy!$E$14=""),"",AK50*Normy!$E$14)</f>
        <v/>
      </c>
      <c r="AL51" s="4">
        <f>IF(OR(AL50="",Normy!$E$14=""),"",AL50*Normy!$E$14)</f>
        <v/>
      </c>
      <c r="AM51" s="4">
        <f>IF(OR(AM50="",Normy!$E$14=""),"",AM50*Normy!$E$14)</f>
        <v/>
      </c>
      <c r="AN51" s="4">
        <f>IF(OR(AN50="",Normy!$E$14=""),"",AN50*Normy!$E$14)</f>
        <v/>
      </c>
      <c r="AO51" s="4">
        <f>IF(OR(AO50="",Normy!$E$14=""),"",AO50*Normy!$E$14)</f>
        <v/>
      </c>
      <c r="AP51" s="4">
        <f>IF(OR(AP50="",Normy!$E$14=""),"",AP50*Normy!$E$14)</f>
        <v/>
      </c>
      <c r="AQ51" s="4">
        <f>IF(OR(AQ50="",Normy!$E$14=""),"",AQ50*Normy!$E$14)</f>
        <v/>
      </c>
      <c r="AR51" s="4">
        <f>IF(OR(AR50="",Normy!$E$14=""),"",AR50*Normy!$E$14)</f>
        <v/>
      </c>
      <c r="AS51" s="4">
        <f>IF(OR(AS50="",Normy!$E$14=""),"",AS50*Normy!$E$14)</f>
        <v/>
      </c>
      <c r="AT51" s="4">
        <f>IF(OR(AT50="",Normy!$E$14=""),"",AT50*Normy!$E$14)</f>
        <v/>
      </c>
      <c r="AU51" s="4">
        <f>IF(OR(AU50="",Normy!$E$14=""),"",AU50*Normy!$E$14)</f>
        <v/>
      </c>
      <c r="AV51" s="4">
        <f>IF(OR(AV50="",Normy!$E$14=""),"",AV50*Normy!$E$14)</f>
        <v/>
      </c>
      <c r="AW51" s="4">
        <f>IF(OR(AW50="",Normy!$E$14=""),"",AW50*Normy!$E$14)</f>
        <v/>
      </c>
      <c r="AX51" s="4">
        <f>IF(OR(AX50="",Normy!$E$14=""),"",AX50*Normy!$E$14)</f>
        <v/>
      </c>
      <c r="AY51" s="4">
        <f>IF(OR(AY50="",Normy!$E$14=""),"",AY50*Normy!$E$14)</f>
        <v/>
      </c>
      <c r="AZ51" s="4">
        <f>IF(OR(AZ50="",Normy!$E$14=""),"",AZ50*Normy!$E$14)</f>
        <v/>
      </c>
      <c r="BA51" s="4">
        <f>IF(OR(BA50="",Normy!$E$14=""),"",BA50*Normy!$E$14)</f>
        <v/>
      </c>
      <c r="BB51" s="4">
        <f>IF(OR(BB50="",Normy!$E$14=""),"",BB50*Normy!$E$14)</f>
        <v/>
      </c>
      <c r="BC51" s="4">
        <f>IF(OR(BC50="",Normy!$E$14=""),"",BC50*Normy!$E$14)</f>
        <v/>
      </c>
      <c r="BD51" s="4">
        <f>IF(OR(BD50="",Normy!$E$14=""),"",BD50*Normy!$E$14)</f>
        <v/>
      </c>
      <c r="BE51" s="4">
        <f>IF(OR(BE50="",Normy!$E$14=""),"",BE50*Normy!$E$14)</f>
        <v/>
      </c>
      <c r="BF51" s="4">
        <f>IF(OR(BF50="",Normy!$E$14=""),"",BF50*Normy!$E$14)</f>
        <v/>
      </c>
      <c r="BG51" s="4">
        <f>IF(OR(BG50="",Normy!$E$14=""),"",BG50*Normy!$E$14)</f>
        <v/>
      </c>
      <c r="BH51" s="4">
        <f>IF(OR(BH50="",Normy!$E$14=""),"",BH50*Normy!$E$14)</f>
        <v/>
      </c>
      <c r="BI51" s="4">
        <f>IF(OR(BI50="",Normy!$E$14=""),"",BI50*Normy!$E$14)</f>
        <v/>
      </c>
      <c r="BJ51" s="4">
        <f>IF(OR(BJ50="",Normy!$E$14=""),"",BJ50*Normy!$E$14)</f>
        <v/>
      </c>
      <c r="BK51" s="4">
        <f>IF(OR(BK50="",Normy!$E$14=""),"",BK50*Normy!$E$14)</f>
        <v/>
      </c>
      <c r="BL51" s="4">
        <f>IF(OR(BL50="",Normy!$E$14=""),"",BL50*Normy!$E$14)</f>
        <v/>
      </c>
      <c r="BM51" s="4">
        <f>IF(OR(BM50="",Normy!$E$14=""),"",BM50*Normy!$E$14)</f>
        <v/>
      </c>
    </row>
    <row r="52">
      <c r="A52" s="19" t="n"/>
      <c r="B52" s="4" t="inlineStr">
        <is>
          <t>Potřeba FTE DL</t>
        </is>
      </c>
      <c r="C52" s="4">
        <f>IF(C51="","",ROUND(C51*Parametry!$B$6/(Parametry!$B$4*(1-Parametry!$B$5)),1))</f>
        <v/>
      </c>
      <c r="D52" s="4">
        <f>IF(D51="","",ROUND(D51*Parametry!$B$6/(Parametry!$B$4*(1-Parametry!$B$5)),1))</f>
        <v/>
      </c>
      <c r="E52" s="4">
        <f>IF(E51="","",ROUND(E51*Parametry!$B$6/(Parametry!$B$4*(1-Parametry!$B$5)),1))</f>
        <v/>
      </c>
      <c r="F52" s="4">
        <f>IF(F51="","",ROUND(F51*Parametry!$B$6/(Parametry!$B$4*(1-Parametry!$B$5)),1))</f>
        <v/>
      </c>
      <c r="G52" s="4">
        <f>IF(G51="","",ROUND(G51*Parametry!$B$6/(Parametry!$B$4*(1-Parametry!$B$5)),1))</f>
        <v/>
      </c>
      <c r="H52" s="4">
        <f>IF(H51="","",ROUND(H51*Parametry!$B$6/(Parametry!$B$4*(1-Parametry!$B$5)),1))</f>
        <v/>
      </c>
      <c r="I52" s="4">
        <f>IF(I51="","",ROUND(I51*Parametry!$B$6/(Parametry!$B$4*(1-Parametry!$B$5)),1))</f>
        <v/>
      </c>
      <c r="J52" s="4">
        <f>IF(J51="","",ROUND(J51*Parametry!$B$6/(Parametry!$B$4*(1-Parametry!$B$5)),1))</f>
        <v/>
      </c>
      <c r="K52" s="4">
        <f>IF(K51="","",ROUND(K51*Parametry!$B$6/(Parametry!$B$4*(1-Parametry!$B$5)),1))</f>
        <v/>
      </c>
      <c r="L52" s="4">
        <f>IF(L51="","",ROUND(L51*Parametry!$B$6/(Parametry!$B$4*(1-Parametry!$B$5)),1))</f>
        <v/>
      </c>
      <c r="M52" s="4">
        <f>IF(M51="","",ROUND(M51*Parametry!$B$6/(Parametry!$B$4*(1-Parametry!$B$5)),1))</f>
        <v/>
      </c>
      <c r="N52" s="4">
        <f>IF(N51="","",ROUND(N51*Parametry!$B$6/(Parametry!$B$4*(1-Parametry!$B$5)),1))</f>
        <v/>
      </c>
      <c r="O52" s="4">
        <f>IF(O51="","",ROUND(O51*Parametry!$B$6/(Parametry!$B$4*(1-Parametry!$B$5)),1))</f>
        <v/>
      </c>
      <c r="P52" s="4">
        <f>IF(P51="","",ROUND(P51*Parametry!$B$6/(Parametry!$B$4*(1-Parametry!$B$5)),1))</f>
        <v/>
      </c>
      <c r="Q52" s="4">
        <f>IF(Q51="","",ROUND(Q51*Parametry!$B$6/(Parametry!$B$4*(1-Parametry!$B$5)),1))</f>
        <v/>
      </c>
      <c r="R52" s="4">
        <f>IF(R51="","",ROUND(R51*Parametry!$B$6/(Parametry!$B$4*(1-Parametry!$B$5)),1))</f>
        <v/>
      </c>
      <c r="S52" s="4">
        <f>IF(S51="","",ROUND(S51*Parametry!$B$6/(Parametry!$B$4*(1-Parametry!$B$5)),1))</f>
        <v/>
      </c>
      <c r="T52" s="4">
        <f>IF(T51="","",ROUND(T51*Parametry!$B$6/(Parametry!$B$4*(1-Parametry!$B$5)),1))</f>
        <v/>
      </c>
      <c r="U52" s="4">
        <f>IF(U51="","",ROUND(U51*Parametry!$B$6/(Parametry!$B$4*(1-Parametry!$B$5)),1))</f>
        <v/>
      </c>
      <c r="V52" s="4">
        <f>IF(V51="","",ROUND(V51*Parametry!$B$6/(Parametry!$B$4*(1-Parametry!$B$5)),1))</f>
        <v/>
      </c>
      <c r="W52" s="4">
        <f>IF(W51="","",ROUND(W51*Parametry!$B$6/(Parametry!$B$4*(1-Parametry!$B$5)),1))</f>
        <v/>
      </c>
      <c r="X52" s="4">
        <f>IF(X51="","",ROUND(X51*Parametry!$B$6/(Parametry!$B$4*(1-Parametry!$B$5)),1))</f>
        <v/>
      </c>
      <c r="Y52" s="4">
        <f>IF(Y51="","",ROUND(Y51*Parametry!$B$6/(Parametry!$B$4*(1-Parametry!$B$5)),1))</f>
        <v/>
      </c>
      <c r="Z52" s="4">
        <f>IF(Z51="","",ROUND(Z51*Parametry!$B$6/(Parametry!$B$4*(1-Parametry!$B$5)),1))</f>
        <v/>
      </c>
      <c r="AA52" s="4">
        <f>IF(AA51="","",ROUND(AA51*Parametry!$B$6/(Parametry!$B$4*(1-Parametry!$B$5)),1))</f>
        <v/>
      </c>
      <c r="AB52" s="4">
        <f>IF(AB51="","",ROUND(AB51*Parametry!$B$6/(Parametry!$B$4*(1-Parametry!$B$5)),1))</f>
        <v/>
      </c>
      <c r="AC52" s="4">
        <f>IF(AC51="","",ROUND(AC51*Parametry!$B$6/(Parametry!$B$4*(1-Parametry!$B$5)),1))</f>
        <v/>
      </c>
      <c r="AD52" s="4">
        <f>IF(AD51="","",ROUND(AD51*Parametry!$B$6/(Parametry!$B$4*(1-Parametry!$B$5)),1))</f>
        <v/>
      </c>
      <c r="AE52" s="4">
        <f>IF(AE51="","",ROUND(AE51*Parametry!$B$6/(Parametry!$B$4*(1-Parametry!$B$5)),1))</f>
        <v/>
      </c>
      <c r="AF52" s="4">
        <f>IF(AF51="","",ROUND(AF51*Parametry!$B$6/(Parametry!$B$4*(1-Parametry!$B$5)),1))</f>
        <v/>
      </c>
      <c r="AG52" s="4">
        <f>IF(AG51="","",ROUND(AG51*Parametry!$B$6/(Parametry!$B$4*(1-Parametry!$B$5)),1))</f>
        <v/>
      </c>
      <c r="AH52" s="4">
        <f>IF(AH51="","",ROUND(AH51*Parametry!$B$6/(Parametry!$B$4*(1-Parametry!$B$5)),1))</f>
        <v/>
      </c>
      <c r="AI52" s="4">
        <f>IF(AI51="","",ROUND(AI51*Parametry!$B$6/(Parametry!$B$4*(1-Parametry!$B$5)),1))</f>
        <v/>
      </c>
      <c r="AJ52" s="4">
        <f>IF(AJ51="","",ROUND(AJ51*Parametry!$B$6/(Parametry!$B$4*(1-Parametry!$B$5)),1))</f>
        <v/>
      </c>
      <c r="AK52" s="4">
        <f>IF(AK51="","",ROUND(AK51*Parametry!$B$6/(Parametry!$B$4*(1-Parametry!$B$5)),1))</f>
        <v/>
      </c>
      <c r="AL52" s="4">
        <f>IF(AL51="","",ROUND(AL51*Parametry!$B$6/(Parametry!$B$4*(1-Parametry!$B$5)),1))</f>
        <v/>
      </c>
      <c r="AM52" s="4">
        <f>IF(AM51="","",ROUND(AM51*Parametry!$B$6/(Parametry!$B$4*(1-Parametry!$B$5)),1))</f>
        <v/>
      </c>
      <c r="AN52" s="4">
        <f>IF(AN51="","",ROUND(AN51*Parametry!$B$6/(Parametry!$B$4*(1-Parametry!$B$5)),1))</f>
        <v/>
      </c>
      <c r="AO52" s="4">
        <f>IF(AO51="","",ROUND(AO51*Parametry!$B$6/(Parametry!$B$4*(1-Parametry!$B$5)),1))</f>
        <v/>
      </c>
      <c r="AP52" s="4">
        <f>IF(AP51="","",ROUND(AP51*Parametry!$B$6/(Parametry!$B$4*(1-Parametry!$B$5)),1))</f>
        <v/>
      </c>
      <c r="AQ52" s="4">
        <f>IF(AQ51="","",ROUND(AQ51*Parametry!$B$6/(Parametry!$B$4*(1-Parametry!$B$5)),1))</f>
        <v/>
      </c>
      <c r="AR52" s="4">
        <f>IF(AR51="","",ROUND(AR51*Parametry!$B$6/(Parametry!$B$4*(1-Parametry!$B$5)),1))</f>
        <v/>
      </c>
      <c r="AS52" s="4">
        <f>IF(AS51="","",ROUND(AS51*Parametry!$B$6/(Parametry!$B$4*(1-Parametry!$B$5)),1))</f>
        <v/>
      </c>
      <c r="AT52" s="4">
        <f>IF(AT51="","",ROUND(AT51*Parametry!$B$6/(Parametry!$B$4*(1-Parametry!$B$5)),1))</f>
        <v/>
      </c>
      <c r="AU52" s="4">
        <f>IF(AU51="","",ROUND(AU51*Parametry!$B$6/(Parametry!$B$4*(1-Parametry!$B$5)),1))</f>
        <v/>
      </c>
      <c r="AV52" s="4">
        <f>IF(AV51="","",ROUND(AV51*Parametry!$B$6/(Parametry!$B$4*(1-Parametry!$B$5)),1))</f>
        <v/>
      </c>
      <c r="AW52" s="4">
        <f>IF(AW51="","",ROUND(AW51*Parametry!$B$6/(Parametry!$B$4*(1-Parametry!$B$5)),1))</f>
        <v/>
      </c>
      <c r="AX52" s="4">
        <f>IF(AX51="","",ROUND(AX51*Parametry!$B$6/(Parametry!$B$4*(1-Parametry!$B$5)),1))</f>
        <v/>
      </c>
      <c r="AY52" s="4">
        <f>IF(AY51="","",ROUND(AY51*Parametry!$B$6/(Parametry!$B$4*(1-Parametry!$B$5)),1))</f>
        <v/>
      </c>
      <c r="AZ52" s="4">
        <f>IF(AZ51="","",ROUND(AZ51*Parametry!$B$6/(Parametry!$B$4*(1-Parametry!$B$5)),1))</f>
        <v/>
      </c>
      <c r="BA52" s="4">
        <f>IF(BA51="","",ROUND(BA51*Parametry!$B$6/(Parametry!$B$4*(1-Parametry!$B$5)),1))</f>
        <v/>
      </c>
      <c r="BB52" s="4">
        <f>IF(BB51="","",ROUND(BB51*Parametry!$B$6/(Parametry!$B$4*(1-Parametry!$B$5)),1))</f>
        <v/>
      </c>
      <c r="BC52" s="4">
        <f>IF(BC51="","",ROUND(BC51*Parametry!$B$6/(Parametry!$B$4*(1-Parametry!$B$5)),1))</f>
        <v/>
      </c>
      <c r="BD52" s="4">
        <f>IF(BD51="","",ROUND(BD51*Parametry!$B$6/(Parametry!$B$4*(1-Parametry!$B$5)),1))</f>
        <v/>
      </c>
      <c r="BE52" s="4">
        <f>IF(BE51="","",ROUND(BE51*Parametry!$B$6/(Parametry!$B$4*(1-Parametry!$B$5)),1))</f>
        <v/>
      </c>
      <c r="BF52" s="4">
        <f>IF(BF51="","",ROUND(BF51*Parametry!$B$6/(Parametry!$B$4*(1-Parametry!$B$5)),1))</f>
        <v/>
      </c>
      <c r="BG52" s="4">
        <f>IF(BG51="","",ROUND(BG51*Parametry!$B$6/(Parametry!$B$4*(1-Parametry!$B$5)),1))</f>
        <v/>
      </c>
      <c r="BH52" s="4">
        <f>IF(BH51="","",ROUND(BH51*Parametry!$B$6/(Parametry!$B$4*(1-Parametry!$B$5)),1))</f>
        <v/>
      </c>
      <c r="BI52" s="4">
        <f>IF(BI51="","",ROUND(BI51*Parametry!$B$6/(Parametry!$B$4*(1-Parametry!$B$5)),1))</f>
        <v/>
      </c>
      <c r="BJ52" s="4">
        <f>IF(BJ51="","",ROUND(BJ51*Parametry!$B$6/(Parametry!$B$4*(1-Parametry!$B$5)),1))</f>
        <v/>
      </c>
      <c r="BK52" s="4">
        <f>IF(BK51="","",ROUND(BK51*Parametry!$B$6/(Parametry!$B$4*(1-Parametry!$B$5)),1))</f>
        <v/>
      </c>
      <c r="BL52" s="4">
        <f>IF(BL51="","",ROUND(BL51*Parametry!$B$6/(Parametry!$B$4*(1-Parametry!$B$5)),1))</f>
        <v/>
      </c>
      <c r="BM52" s="4">
        <f>IF(BM51="","",ROUND(BM51*Parametry!$B$6/(Parametry!$B$4*(1-Parametry!$B$5)),1))</f>
        <v/>
      </c>
    </row>
    <row r="53">
      <c r="A53" s="19" t="n"/>
      <c r="B53" s="4" t="inlineStr">
        <is>
          <t>Skutečnost FTE</t>
        </is>
      </c>
      <c r="C53" s="20">
        <f>IF(Normy!$G$14="","",ROUND(Normy!$G$14*5*Parametry!$B$6/(Parametry!$B$4*(1-Parametry!$B$5)),1))</f>
        <v/>
      </c>
      <c r="D53" s="20">
        <f>IF(Normy!$G$14="","",ROUND(Normy!$G$14*5*Parametry!$B$6/(Parametry!$B$4*(1-Parametry!$B$5)),1))</f>
        <v/>
      </c>
      <c r="E53" s="20">
        <f>IF(Normy!$G$14="","",ROUND(Normy!$G$14*5*Parametry!$B$6/(Parametry!$B$4*(1-Parametry!$B$5)),1))</f>
        <v/>
      </c>
      <c r="F53" s="20">
        <f>IF(Normy!$G$14="","",ROUND(Normy!$G$14*5*Parametry!$B$6/(Parametry!$B$4*(1-Parametry!$B$5)),1))</f>
        <v/>
      </c>
      <c r="G53" s="20">
        <f>IF(Normy!$G$14="","",ROUND(Normy!$G$14*5*Parametry!$B$6/(Parametry!$B$4*(1-Parametry!$B$5)),1))</f>
        <v/>
      </c>
      <c r="H53" s="20">
        <f>IF(Normy!$G$14="","",ROUND(Normy!$G$14*5*Parametry!$B$6/(Parametry!$B$4*(1-Parametry!$B$5)),1))</f>
        <v/>
      </c>
      <c r="I53" s="20">
        <f>IF(Normy!$G$14="","",ROUND(Normy!$G$14*5*Parametry!$B$6/(Parametry!$B$4*(1-Parametry!$B$5)),1))</f>
        <v/>
      </c>
      <c r="J53" s="20">
        <f>IF(Normy!$G$14="","",ROUND(Normy!$G$14*5*Parametry!$B$6/(Parametry!$B$4*(1-Parametry!$B$5)),1))</f>
        <v/>
      </c>
      <c r="K53" s="20">
        <f>IF(Normy!$G$14="","",ROUND(Normy!$G$14*5*Parametry!$B$6/(Parametry!$B$4*(1-Parametry!$B$5)),1))</f>
        <v/>
      </c>
      <c r="L53" s="20">
        <f>IF(Normy!$G$14="","",ROUND(Normy!$G$14*5*Parametry!$B$6/(Parametry!$B$4*(1-Parametry!$B$5)),1))</f>
        <v/>
      </c>
      <c r="M53" s="20">
        <f>IF(Normy!$G$14="","",ROUND(Normy!$G$14*5*Parametry!$B$6/(Parametry!$B$4*(1-Parametry!$B$5)),1))</f>
        <v/>
      </c>
      <c r="N53" s="20">
        <f>IF(Normy!$G$14="","",ROUND(Normy!$G$14*5*Parametry!$B$6/(Parametry!$B$4*(1-Parametry!$B$5)),1))</f>
        <v/>
      </c>
      <c r="O53" s="20">
        <f>IF(Normy!$G$14="","",ROUND(Normy!$G$14*5*Parametry!$B$6/(Parametry!$B$4*(1-Parametry!$B$5)),1))</f>
        <v/>
      </c>
      <c r="P53" s="20">
        <f>IF(Normy!$G$14="","",ROUND(Normy!$G$14*5*Parametry!$B$6/(Parametry!$B$4*(1-Parametry!$B$5)),1))</f>
        <v/>
      </c>
      <c r="Q53" s="20">
        <f>IF(Normy!$G$14="","",ROUND(Normy!$G$14*5*Parametry!$B$6/(Parametry!$B$4*(1-Parametry!$B$5)),1))</f>
        <v/>
      </c>
      <c r="R53" s="20">
        <f>IF(Normy!$G$14="","",ROUND(Normy!$G$14*5*Parametry!$B$6/(Parametry!$B$4*(1-Parametry!$B$5)),1))</f>
        <v/>
      </c>
      <c r="S53" s="20">
        <f>IF(Normy!$G$14="","",ROUND(Normy!$G$14*5*Parametry!$B$6/(Parametry!$B$4*(1-Parametry!$B$5)),1))</f>
        <v/>
      </c>
      <c r="T53" s="20">
        <f>IF(Normy!$G$14="","",ROUND(Normy!$G$14*5*Parametry!$B$6/(Parametry!$B$4*(1-Parametry!$B$5)),1))</f>
        <v/>
      </c>
      <c r="U53" s="20">
        <f>IF(Normy!$G$14="","",ROUND(Normy!$G$14*5*Parametry!$B$6/(Parametry!$B$4*(1-Parametry!$B$5)),1))</f>
        <v/>
      </c>
      <c r="V53" s="20">
        <f>IF(Normy!$G$14="","",ROUND(Normy!$G$14*5*Parametry!$B$6/(Parametry!$B$4*(1-Parametry!$B$5)),1))</f>
        <v/>
      </c>
      <c r="W53" s="20">
        <f>IF(Normy!$G$14="","",ROUND(Normy!$G$14*5*Parametry!$B$6/(Parametry!$B$4*(1-Parametry!$B$5)),1))</f>
        <v/>
      </c>
      <c r="X53" s="20">
        <f>IF(Normy!$G$14="","",ROUND(Normy!$G$14*5*Parametry!$B$6/(Parametry!$B$4*(1-Parametry!$B$5)),1))</f>
        <v/>
      </c>
      <c r="Y53" s="20">
        <f>IF(Normy!$G$14="","",ROUND(Normy!$G$14*5*Parametry!$B$6/(Parametry!$B$4*(1-Parametry!$B$5)),1))</f>
        <v/>
      </c>
      <c r="Z53" s="20">
        <f>IF(Normy!$G$14="","",ROUND(Normy!$G$14*5*Parametry!$B$6/(Parametry!$B$4*(1-Parametry!$B$5)),1))</f>
        <v/>
      </c>
      <c r="AA53" s="20">
        <f>IF(Normy!$G$14="","",ROUND(Normy!$G$14*5*Parametry!$B$6/(Parametry!$B$4*(1-Parametry!$B$5)),1))</f>
        <v/>
      </c>
      <c r="AB53" s="20">
        <f>IF(Normy!$G$14="","",ROUND(Normy!$G$14*5*Parametry!$B$6/(Parametry!$B$4*(1-Parametry!$B$5)),1))</f>
        <v/>
      </c>
      <c r="AC53" s="20">
        <f>IF(Normy!$G$14="","",ROUND(Normy!$G$14*5*Parametry!$B$6/(Parametry!$B$4*(1-Parametry!$B$5)),1))</f>
        <v/>
      </c>
      <c r="AD53" s="20">
        <f>IF(Normy!$G$14="","",ROUND(Normy!$G$14*5*Parametry!$B$6/(Parametry!$B$4*(1-Parametry!$B$5)),1))</f>
        <v/>
      </c>
      <c r="AE53" s="20">
        <f>IF(Normy!$G$14="","",ROUND(Normy!$G$14*5*Parametry!$B$6/(Parametry!$B$4*(1-Parametry!$B$5)),1))</f>
        <v/>
      </c>
      <c r="AF53" s="20">
        <f>IF(Normy!$G$14="","",ROUND(Normy!$G$14*5*Parametry!$B$6/(Parametry!$B$4*(1-Parametry!$B$5)),1))</f>
        <v/>
      </c>
      <c r="AG53" s="20">
        <f>IF(Normy!$G$14="","",ROUND(Normy!$G$14*5*Parametry!$B$6/(Parametry!$B$4*(1-Parametry!$B$5)),1))</f>
        <v/>
      </c>
      <c r="AH53" s="20">
        <f>IF(Normy!$G$14="","",ROUND(Normy!$G$14*5*Parametry!$B$6/(Parametry!$B$4*(1-Parametry!$B$5)),1))</f>
        <v/>
      </c>
      <c r="AI53" s="20">
        <f>IF(Normy!$G$14="","",ROUND(Normy!$G$14*5*Parametry!$B$6/(Parametry!$B$4*(1-Parametry!$B$5)),1))</f>
        <v/>
      </c>
      <c r="AJ53" s="20">
        <f>IF(Normy!$G$14="","",ROUND(Normy!$G$14*5*Parametry!$B$6/(Parametry!$B$4*(1-Parametry!$B$5)),1))</f>
        <v/>
      </c>
      <c r="AK53" s="20">
        <f>IF(Normy!$G$14="","",ROUND(Normy!$G$14*5*Parametry!$B$6/(Parametry!$B$4*(1-Parametry!$B$5)),1))</f>
        <v/>
      </c>
      <c r="AL53" s="20">
        <f>IF(Normy!$G$14="","",ROUND(Normy!$G$14*5*Parametry!$B$6/(Parametry!$B$4*(1-Parametry!$B$5)),1))</f>
        <v/>
      </c>
      <c r="AM53" s="20">
        <f>IF(Normy!$G$14="","",ROUND(Normy!$G$14*5*Parametry!$B$6/(Parametry!$B$4*(1-Parametry!$B$5)),1))</f>
        <v/>
      </c>
      <c r="AN53" s="20">
        <f>IF(Normy!$G$14="","",ROUND(Normy!$G$14*5*Parametry!$B$6/(Parametry!$B$4*(1-Parametry!$B$5)),1))</f>
        <v/>
      </c>
      <c r="AO53" s="20">
        <f>IF(Normy!$G$14="","",ROUND(Normy!$G$14*5*Parametry!$B$6/(Parametry!$B$4*(1-Parametry!$B$5)),1))</f>
        <v/>
      </c>
      <c r="AP53" s="20">
        <f>IF(Normy!$G$14="","",ROUND(Normy!$G$14*5*Parametry!$B$6/(Parametry!$B$4*(1-Parametry!$B$5)),1))</f>
        <v/>
      </c>
      <c r="AQ53" s="20">
        <f>IF(Normy!$G$14="","",ROUND(Normy!$G$14*5*Parametry!$B$6/(Parametry!$B$4*(1-Parametry!$B$5)),1))</f>
        <v/>
      </c>
      <c r="AR53" s="20">
        <f>IF(Normy!$G$14="","",ROUND(Normy!$G$14*5*Parametry!$B$6/(Parametry!$B$4*(1-Parametry!$B$5)),1))</f>
        <v/>
      </c>
      <c r="AS53" s="20">
        <f>IF(Normy!$G$14="","",ROUND(Normy!$G$14*5*Parametry!$B$6/(Parametry!$B$4*(1-Parametry!$B$5)),1))</f>
        <v/>
      </c>
      <c r="AT53" s="20">
        <f>IF(Normy!$G$14="","",ROUND(Normy!$G$14*5*Parametry!$B$6/(Parametry!$B$4*(1-Parametry!$B$5)),1))</f>
        <v/>
      </c>
      <c r="AU53" s="20">
        <f>IF(Normy!$G$14="","",ROUND(Normy!$G$14*5*Parametry!$B$6/(Parametry!$B$4*(1-Parametry!$B$5)),1))</f>
        <v/>
      </c>
      <c r="AV53" s="20">
        <f>IF(Normy!$G$14="","",ROUND(Normy!$G$14*5*Parametry!$B$6/(Parametry!$B$4*(1-Parametry!$B$5)),1))</f>
        <v/>
      </c>
      <c r="AW53" s="20">
        <f>IF(Normy!$G$14="","",ROUND(Normy!$G$14*5*Parametry!$B$6/(Parametry!$B$4*(1-Parametry!$B$5)),1))</f>
        <v/>
      </c>
      <c r="AX53" s="20">
        <f>IF(Normy!$G$14="","",ROUND(Normy!$G$14*5*Parametry!$B$6/(Parametry!$B$4*(1-Parametry!$B$5)),1))</f>
        <v/>
      </c>
      <c r="AY53" s="20">
        <f>IF(Normy!$G$14="","",ROUND(Normy!$G$14*5*Parametry!$B$6/(Parametry!$B$4*(1-Parametry!$B$5)),1))</f>
        <v/>
      </c>
      <c r="AZ53" s="20">
        <f>IF(Normy!$G$14="","",ROUND(Normy!$G$14*5*Parametry!$B$6/(Parametry!$B$4*(1-Parametry!$B$5)),1))</f>
        <v/>
      </c>
      <c r="BA53" s="20">
        <f>IF(Normy!$G$14="","",ROUND(Normy!$G$14*5*Parametry!$B$6/(Parametry!$B$4*(1-Parametry!$B$5)),1))</f>
        <v/>
      </c>
      <c r="BB53" s="20">
        <f>IF(Normy!$G$14="","",ROUND(Normy!$G$14*5*Parametry!$B$6/(Parametry!$B$4*(1-Parametry!$B$5)),1))</f>
        <v/>
      </c>
      <c r="BC53" s="20">
        <f>IF(Normy!$G$14="","",ROUND(Normy!$G$14*5*Parametry!$B$6/(Parametry!$B$4*(1-Parametry!$B$5)),1))</f>
        <v/>
      </c>
      <c r="BD53" s="20">
        <f>IF(Normy!$G$14="","",ROUND(Normy!$G$14*5*Parametry!$B$6/(Parametry!$B$4*(1-Parametry!$B$5)),1))</f>
        <v/>
      </c>
      <c r="BE53" s="20">
        <f>IF(Normy!$G$14="","",ROUND(Normy!$G$14*5*Parametry!$B$6/(Parametry!$B$4*(1-Parametry!$B$5)),1))</f>
        <v/>
      </c>
      <c r="BF53" s="20">
        <f>IF(Normy!$G$14="","",ROUND(Normy!$G$14*5*Parametry!$B$6/(Parametry!$B$4*(1-Parametry!$B$5)),1))</f>
        <v/>
      </c>
      <c r="BG53" s="20">
        <f>IF(Normy!$G$14="","",ROUND(Normy!$G$14*5*Parametry!$B$6/(Parametry!$B$4*(1-Parametry!$B$5)),1))</f>
        <v/>
      </c>
      <c r="BH53" s="20">
        <f>IF(Normy!$G$14="","",ROUND(Normy!$G$14*5*Parametry!$B$6/(Parametry!$B$4*(1-Parametry!$B$5)),1))</f>
        <v/>
      </c>
      <c r="BI53" s="20">
        <f>IF(Normy!$G$14="","",ROUND(Normy!$G$14*5*Parametry!$B$6/(Parametry!$B$4*(1-Parametry!$B$5)),1))</f>
        <v/>
      </c>
      <c r="BJ53" s="20">
        <f>IF(Normy!$G$14="","",ROUND(Normy!$G$14*5*Parametry!$B$6/(Parametry!$B$4*(1-Parametry!$B$5)),1))</f>
        <v/>
      </c>
      <c r="BK53" s="20">
        <f>IF(Normy!$G$14="","",ROUND(Normy!$G$14*5*Parametry!$B$6/(Parametry!$B$4*(1-Parametry!$B$5)),1))</f>
        <v/>
      </c>
      <c r="BL53" s="20">
        <f>IF(Normy!$G$14="","",ROUND(Normy!$G$14*5*Parametry!$B$6/(Parametry!$B$4*(1-Parametry!$B$5)),1))</f>
        <v/>
      </c>
      <c r="BM53" s="20">
        <f>IF(Normy!$G$14="","",ROUND(Normy!$G$14*5*Parametry!$B$6/(Parametry!$B$4*(1-Parametry!$B$5)),1))</f>
        <v/>
      </c>
    </row>
    <row r="54">
      <c r="A54" s="19" t="n"/>
      <c r="B54" s="4" t="inlineStr">
        <is>
          <t>Gap FTE (skut. − potřeba)</t>
        </is>
      </c>
      <c r="C54" s="20">
        <f>IF(OR(C53="",C52=""),"",C53-C52)</f>
        <v/>
      </c>
      <c r="D54" s="20">
        <f>IF(OR(D53="",D52=""),"",D53-D52)</f>
        <v/>
      </c>
      <c r="E54" s="20">
        <f>IF(OR(E53="",E52=""),"",E53-E52)</f>
        <v/>
      </c>
      <c r="F54" s="20">
        <f>IF(OR(F53="",F52=""),"",F53-F52)</f>
        <v/>
      </c>
      <c r="G54" s="20">
        <f>IF(OR(G53="",G52=""),"",G53-G52)</f>
        <v/>
      </c>
      <c r="H54" s="20">
        <f>IF(OR(H53="",H52=""),"",H53-H52)</f>
        <v/>
      </c>
      <c r="I54" s="20">
        <f>IF(OR(I53="",I52=""),"",I53-I52)</f>
        <v/>
      </c>
      <c r="J54" s="20">
        <f>IF(OR(J53="",J52=""),"",J53-J52)</f>
        <v/>
      </c>
      <c r="K54" s="20">
        <f>IF(OR(K53="",K52=""),"",K53-K52)</f>
        <v/>
      </c>
      <c r="L54" s="20">
        <f>IF(OR(L53="",L52=""),"",L53-L52)</f>
        <v/>
      </c>
      <c r="M54" s="20">
        <f>IF(OR(M53="",M52=""),"",M53-M52)</f>
        <v/>
      </c>
      <c r="N54" s="20">
        <f>IF(OR(N53="",N52=""),"",N53-N52)</f>
        <v/>
      </c>
      <c r="O54" s="20">
        <f>IF(OR(O53="",O52=""),"",O53-O52)</f>
        <v/>
      </c>
      <c r="P54" s="20">
        <f>IF(OR(P53="",P52=""),"",P53-P52)</f>
        <v/>
      </c>
      <c r="Q54" s="20">
        <f>IF(OR(Q53="",Q52=""),"",Q53-Q52)</f>
        <v/>
      </c>
      <c r="R54" s="20">
        <f>IF(OR(R53="",R52=""),"",R53-R52)</f>
        <v/>
      </c>
      <c r="S54" s="20">
        <f>IF(OR(S53="",S52=""),"",S53-S52)</f>
        <v/>
      </c>
      <c r="T54" s="20">
        <f>IF(OR(T53="",T52=""),"",T53-T52)</f>
        <v/>
      </c>
      <c r="U54" s="20">
        <f>IF(OR(U53="",U52=""),"",U53-U52)</f>
        <v/>
      </c>
      <c r="V54" s="20">
        <f>IF(OR(V53="",V52=""),"",V53-V52)</f>
        <v/>
      </c>
      <c r="W54" s="20">
        <f>IF(OR(W53="",W52=""),"",W53-W52)</f>
        <v/>
      </c>
      <c r="X54" s="20">
        <f>IF(OR(X53="",X52=""),"",X53-X52)</f>
        <v/>
      </c>
      <c r="Y54" s="20">
        <f>IF(OR(Y53="",Y52=""),"",Y53-Y52)</f>
        <v/>
      </c>
      <c r="Z54" s="20">
        <f>IF(OR(Z53="",Z52=""),"",Z53-Z52)</f>
        <v/>
      </c>
      <c r="AA54" s="20">
        <f>IF(OR(AA53="",AA52=""),"",AA53-AA52)</f>
        <v/>
      </c>
      <c r="AB54" s="20">
        <f>IF(OR(AB53="",AB52=""),"",AB53-AB52)</f>
        <v/>
      </c>
      <c r="AC54" s="20">
        <f>IF(OR(AC53="",AC52=""),"",AC53-AC52)</f>
        <v/>
      </c>
      <c r="AD54" s="20">
        <f>IF(OR(AD53="",AD52=""),"",AD53-AD52)</f>
        <v/>
      </c>
      <c r="AE54" s="20">
        <f>IF(OR(AE53="",AE52=""),"",AE53-AE52)</f>
        <v/>
      </c>
      <c r="AF54" s="20">
        <f>IF(OR(AF53="",AF52=""),"",AF53-AF52)</f>
        <v/>
      </c>
      <c r="AG54" s="20">
        <f>IF(OR(AG53="",AG52=""),"",AG53-AG52)</f>
        <v/>
      </c>
      <c r="AH54" s="20">
        <f>IF(OR(AH53="",AH52=""),"",AH53-AH52)</f>
        <v/>
      </c>
      <c r="AI54" s="20">
        <f>IF(OR(AI53="",AI52=""),"",AI53-AI52)</f>
        <v/>
      </c>
      <c r="AJ54" s="20">
        <f>IF(OR(AJ53="",AJ52=""),"",AJ53-AJ52)</f>
        <v/>
      </c>
      <c r="AK54" s="20">
        <f>IF(OR(AK53="",AK52=""),"",AK53-AK52)</f>
        <v/>
      </c>
      <c r="AL54" s="20">
        <f>IF(OR(AL53="",AL52=""),"",AL53-AL52)</f>
        <v/>
      </c>
      <c r="AM54" s="20">
        <f>IF(OR(AM53="",AM52=""),"",AM53-AM52)</f>
        <v/>
      </c>
      <c r="AN54" s="20">
        <f>IF(OR(AN53="",AN52=""),"",AN53-AN52)</f>
        <v/>
      </c>
      <c r="AO54" s="20">
        <f>IF(OR(AO53="",AO52=""),"",AO53-AO52)</f>
        <v/>
      </c>
      <c r="AP54" s="20">
        <f>IF(OR(AP53="",AP52=""),"",AP53-AP52)</f>
        <v/>
      </c>
      <c r="AQ54" s="20">
        <f>IF(OR(AQ53="",AQ52=""),"",AQ53-AQ52)</f>
        <v/>
      </c>
      <c r="AR54" s="20">
        <f>IF(OR(AR53="",AR52=""),"",AR53-AR52)</f>
        <v/>
      </c>
      <c r="AS54" s="20">
        <f>IF(OR(AS53="",AS52=""),"",AS53-AS52)</f>
        <v/>
      </c>
      <c r="AT54" s="20">
        <f>IF(OR(AT53="",AT52=""),"",AT53-AT52)</f>
        <v/>
      </c>
      <c r="AU54" s="20">
        <f>IF(OR(AU53="",AU52=""),"",AU53-AU52)</f>
        <v/>
      </c>
      <c r="AV54" s="20">
        <f>IF(OR(AV53="",AV52=""),"",AV53-AV52)</f>
        <v/>
      </c>
      <c r="AW54" s="20">
        <f>IF(OR(AW53="",AW52=""),"",AW53-AW52)</f>
        <v/>
      </c>
      <c r="AX54" s="20">
        <f>IF(OR(AX53="",AX52=""),"",AX53-AX52)</f>
        <v/>
      </c>
      <c r="AY54" s="20">
        <f>IF(OR(AY53="",AY52=""),"",AY53-AY52)</f>
        <v/>
      </c>
      <c r="AZ54" s="20">
        <f>IF(OR(AZ53="",AZ52=""),"",AZ53-AZ52)</f>
        <v/>
      </c>
      <c r="BA54" s="20">
        <f>IF(OR(BA53="",BA52=""),"",BA53-BA52)</f>
        <v/>
      </c>
      <c r="BB54" s="20">
        <f>IF(OR(BB53="",BB52=""),"",BB53-BB52)</f>
        <v/>
      </c>
      <c r="BC54" s="20">
        <f>IF(OR(BC53="",BC52=""),"",BC53-BC52)</f>
        <v/>
      </c>
      <c r="BD54" s="20">
        <f>IF(OR(BD53="",BD52=""),"",BD53-BD52)</f>
        <v/>
      </c>
      <c r="BE54" s="20">
        <f>IF(OR(BE53="",BE52=""),"",BE53-BE52)</f>
        <v/>
      </c>
      <c r="BF54" s="20">
        <f>IF(OR(BF53="",BF52=""),"",BF53-BF52)</f>
        <v/>
      </c>
      <c r="BG54" s="20">
        <f>IF(OR(BG53="",BG52=""),"",BG53-BG52)</f>
        <v/>
      </c>
      <c r="BH54" s="20">
        <f>IF(OR(BH53="",BH52=""),"",BH53-BH52)</f>
        <v/>
      </c>
      <c r="BI54" s="20">
        <f>IF(OR(BI53="",BI52=""),"",BI53-BI52)</f>
        <v/>
      </c>
      <c r="BJ54" s="20">
        <f>IF(OR(BJ53="",BJ52=""),"",BJ53-BJ52)</f>
        <v/>
      </c>
      <c r="BK54" s="20">
        <f>IF(OR(BK53="",BK52=""),"",BK53-BK52)</f>
        <v/>
      </c>
      <c r="BL54" s="20">
        <f>IF(OR(BL53="",BL52=""),"",BL53-BL52)</f>
        <v/>
      </c>
      <c r="BM54" s="20">
        <f>IF(OR(BM53="",BM52=""),"",BM53-BM52)</f>
        <v/>
      </c>
    </row>
  </sheetData>
  <conditionalFormatting sqref="C5:BM5">
    <cfRule type="cellIs" priority="1" operator="greaterThan" dxfId="0">
      <formula>Normy!$F$5</formula>
    </cfRule>
  </conditionalFormatting>
  <conditionalFormatting sqref="C10:BM10">
    <cfRule type="cellIs" priority="2" operator="greaterThan" dxfId="0">
      <formula>Normy!$F$6</formula>
    </cfRule>
  </conditionalFormatting>
  <conditionalFormatting sqref="C15:BM15">
    <cfRule type="cellIs" priority="3" operator="greaterThan" dxfId="0">
      <formula>Normy!$F$7</formula>
    </cfRule>
  </conditionalFormatting>
  <conditionalFormatting sqref="C20:BM20">
    <cfRule type="cellIs" priority="4" operator="greaterThan" dxfId="0">
      <formula>Normy!$F$8</formula>
    </cfRule>
  </conditionalFormatting>
  <conditionalFormatting sqref="C25:BM25">
    <cfRule type="cellIs" priority="5" operator="greaterThan" dxfId="0">
      <formula>Normy!$F$9</formula>
    </cfRule>
  </conditionalFormatting>
  <conditionalFormatting sqref="C30:BM30">
    <cfRule type="cellIs" priority="6" operator="greaterThan" dxfId="0">
      <formula>Normy!$F$10</formula>
    </cfRule>
  </conditionalFormatting>
  <conditionalFormatting sqref="C35:BM35">
    <cfRule type="cellIs" priority="7" operator="greaterThan" dxfId="0">
      <formula>Normy!$F$11</formula>
    </cfRule>
  </conditionalFormatting>
  <conditionalFormatting sqref="C40:BM40">
    <cfRule type="cellIs" priority="8" operator="greaterThan" dxfId="0">
      <formula>Normy!$F$12</formula>
    </cfRule>
  </conditionalFormatting>
  <conditionalFormatting sqref="C45:BM45">
    <cfRule type="cellIs" priority="9" operator="greaterThan" dxfId="0">
      <formula>Normy!$F$13</formula>
    </cfRule>
  </conditionalFormatting>
  <conditionalFormatting sqref="C50:BM50">
    <cfRule type="cellIs" priority="10" operator="greaterThan" dxfId="0">
      <formula>Normy!$F$14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9" customWidth="1" min="4" max="4"/>
    <col width="9" customWidth="1" min="5" max="5"/>
    <col width="9" customWidth="1" min="6" max="6"/>
    <col width="10" customWidth="1" min="7" max="7"/>
    <col width="13" customWidth="1" min="8" max="8"/>
    <col width="26" customWidth="1" min="9" max="9"/>
    <col width="12" customWidth="1" min="10" max="10"/>
    <col width="60" customWidth="1" min="11" max="11"/>
    <col width="30" customWidth="1" min="12" max="12"/>
  </cols>
  <sheetData>
    <row r="1">
      <c r="A1" s="1" t="inlineStr">
        <is>
          <t>Obsazení linek podle rozpisů směn CW43/2026</t>
        </is>
      </c>
    </row>
    <row r="2">
      <c r="A2" s="2" t="inlineStr">
        <is>
          <t>Počet jmenovitě obsazených operátorů na směně (bez TL/TR). 12h = z toho lidé na 12h směně (06–18 / 18–06), kryjí i část odpolední.</t>
        </is>
      </c>
    </row>
    <row r="4" ht="45" customHeight="1">
      <c r="A4" s="3" t="inlineStr">
        <is>
          <t>Rozpis (skupina)</t>
        </is>
      </c>
      <c r="B4" s="3" t="inlineStr">
        <is>
          <t>OP ranní</t>
        </is>
      </c>
      <c r="C4" s="3" t="inlineStr">
        <is>
          <t>OP odpolední</t>
        </is>
      </c>
      <c r="D4" s="3" t="inlineStr">
        <is>
          <t>OP noční</t>
        </is>
      </c>
      <c r="E4" s="3" t="inlineStr">
        <is>
          <t>OP za den (unikátní jména)</t>
        </is>
      </c>
      <c r="F4" s="3" t="inlineStr">
        <is>
          <t>z toho 12h</t>
        </is>
      </c>
      <c r="G4" s="3" t="inlineStr">
        <is>
          <t>TL/TR za den</t>
        </is>
      </c>
      <c r="H4" s="3" t="inlineStr">
        <is>
          <t>Pozice v rozpisu (R/O/N)</t>
        </is>
      </c>
      <c r="I4" s="3" t="inlineStr">
        <is>
          <t>Soubor</t>
        </is>
      </c>
      <c r="J4" s="3" t="inlineStr">
        <is>
          <t>List</t>
        </is>
      </c>
      <c r="K4" s="3" t="inlineStr">
        <is>
          <t>Poznámka</t>
        </is>
      </c>
      <c r="L4" s="12" t="inlineStr">
        <is>
          <t>Stejné jméno i v jiném rozpisu</t>
        </is>
      </c>
    </row>
    <row r="5">
      <c r="A5" s="14" t="inlineStr">
        <is>
          <t>OV51/64</t>
        </is>
      </c>
      <c r="B5" s="14" t="n">
        <v>14</v>
      </c>
      <c r="C5" s="14" t="n">
        <v>0</v>
      </c>
      <c r="D5" s="14" t="n">
        <v>13</v>
      </c>
      <c r="E5" s="15" t="n">
        <v>27</v>
      </c>
      <c r="F5" s="14" t="n">
        <v>2</v>
      </c>
      <c r="G5" s="14" t="n">
        <v>3</v>
      </c>
      <c r="H5" s="14" t="inlineStr">
        <is>
          <t>14/13/13</t>
        </is>
      </c>
      <c r="I5" s="14" t="inlineStr">
        <is>
          <t>CW43_OV_51_64.xlsx</t>
        </is>
      </c>
      <c r="J5" s="14" t="inlineStr">
        <is>
          <t>CW43</t>
        </is>
      </c>
      <c r="K5" s="11" t="inlineStr">
        <is>
          <t>List CW43 je nadepsán CW44. Odpolední: 13 pozic bez jmen. 4 lidé končí 30.10., 2 návraty 1.11.</t>
        </is>
      </c>
      <c r="L5" s="4" t="inlineStr">
        <is>
          <t>Biro Kristina, Tsiple Maryna</t>
        </is>
      </c>
    </row>
    <row r="6">
      <c r="A6" s="14" t="inlineStr">
        <is>
          <t>IMM</t>
        </is>
      </c>
      <c r="B6" s="14" t="n">
        <v>16</v>
      </c>
      <c r="C6" s="14" t="n">
        <v>10</v>
      </c>
      <c r="D6" s="14" t="n">
        <v>15</v>
      </c>
      <c r="E6" s="15" t="n">
        <v>41</v>
      </c>
      <c r="F6" s="14" t="n">
        <v>13</v>
      </c>
      <c r="G6" s="14" t="n">
        <v>6</v>
      </c>
      <c r="H6" s="14" t="inlineStr">
        <is>
          <t>16/10/15</t>
        </is>
      </c>
      <c r="I6" s="14" t="inlineStr">
        <is>
          <t>CW_43_IMM.xlsx</t>
        </is>
      </c>
      <c r="J6" s="14" t="inlineStr">
        <is>
          <t>CW43</t>
        </is>
      </c>
      <c r="K6" s="11" t="inlineStr">
        <is>
          <t>Rozpis sám uvádí 17/11/16 (vč. pomoc TL).</t>
        </is>
      </c>
      <c r="L6" s="4" t="inlineStr"/>
    </row>
    <row r="7">
      <c r="A7" s="14" t="inlineStr">
        <is>
          <t>SK336/W206</t>
        </is>
      </c>
      <c r="B7" s="14" t="n">
        <v>9</v>
      </c>
      <c r="C7" s="14" t="n">
        <v>2</v>
      </c>
      <c r="D7" s="14" t="n">
        <v>9</v>
      </c>
      <c r="E7" s="15" t="n">
        <v>20</v>
      </c>
      <c r="F7" s="14" t="n">
        <v>15</v>
      </c>
      <c r="G7" s="14" t="n">
        <v>3</v>
      </c>
      <c r="H7" s="14" t="inlineStr">
        <is>
          <t>9/2/9</t>
        </is>
      </c>
      <c r="I7" s="14" t="inlineStr">
        <is>
          <t>CW_43_SK336.xlsx</t>
        </is>
      </c>
      <c r="J7" s="14" t="inlineStr">
        <is>
          <t>CW43</t>
        </is>
      </c>
      <c r="K7" s="11" t="inlineStr">
        <is>
          <t>Odpolední jen Us.Wel + Rework, zbytek kryjí 12h směny.</t>
        </is>
      </c>
      <c r="L7" s="4" t="inlineStr">
        <is>
          <t>Tsiple Maryna</t>
        </is>
      </c>
    </row>
    <row r="8">
      <c r="A8" s="14" t="inlineStr">
        <is>
          <t>Slush</t>
        </is>
      </c>
      <c r="B8" s="14" t="n">
        <v>8</v>
      </c>
      <c r="C8" s="14" t="n">
        <v>2</v>
      </c>
      <c r="D8" s="14" t="n">
        <v>8</v>
      </c>
      <c r="E8" s="15" t="n">
        <v>18</v>
      </c>
      <c r="F8" s="14" t="n">
        <v>12</v>
      </c>
      <c r="G8" s="14" t="n">
        <v>5</v>
      </c>
      <c r="H8" s="14" t="inlineStr">
        <is>
          <t>8/3/8</t>
        </is>
      </c>
      <c r="I8" s="14" t="inlineStr">
        <is>
          <t>CW_43_Slush___it_.xlsx</t>
        </is>
      </c>
      <c r="J8" s="14" t="inlineStr">
        <is>
          <t>43</t>
        </is>
      </c>
      <c r="K8" s="11" t="inlineStr">
        <is>
          <t>Slush 1+2, manipulant, myčka. Sewing a Sealing MFA bez obsazení.</t>
        </is>
      </c>
      <c r="L8" s="4" t="inlineStr"/>
    </row>
    <row r="9">
      <c r="A9" s="14" t="inlineStr">
        <is>
          <t>W177/W247 IP (MFA2)</t>
        </is>
      </c>
      <c r="B9" s="14" t="n">
        <v>7</v>
      </c>
      <c r="C9" s="14" t="n">
        <v>0</v>
      </c>
      <c r="D9" s="14" t="n">
        <v>7</v>
      </c>
      <c r="E9" s="15" t="n">
        <v>14</v>
      </c>
      <c r="F9" s="14" t="n">
        <v>14</v>
      </c>
      <c r="G9" s="14" t="n">
        <v>5</v>
      </c>
      <c r="H9" s="14" t="inlineStr">
        <is>
          <t>7/7/7</t>
        </is>
      </c>
      <c r="I9" s="14" t="inlineStr">
        <is>
          <t>CW_43_MFA2.xlsx</t>
        </is>
      </c>
      <c r="J9" s="14" t="inlineStr">
        <is>
          <t>CW39</t>
        </is>
      </c>
      <c r="K9" s="11" t="inlineStr">
        <is>
          <t>Soubor obsahuje jen týden 42 (list CW39) – CW43 chybí.</t>
        </is>
      </c>
      <c r="L9" s="4" t="inlineStr">
        <is>
          <t>Tsiple Maryna</t>
        </is>
      </c>
    </row>
    <row r="10">
      <c r="A10" s="14" t="inlineStr">
        <is>
          <t>MBEAM</t>
        </is>
      </c>
      <c r="B10" s="14" t="n">
        <v>10</v>
      </c>
      <c r="C10" s="14" t="n">
        <v>9</v>
      </c>
      <c r="D10" s="14" t="n">
        <v>9</v>
      </c>
      <c r="E10" s="15" t="n">
        <v>28</v>
      </c>
      <c r="F10" s="14" t="n">
        <v>0</v>
      </c>
      <c r="G10" s="14" t="n">
        <v>5</v>
      </c>
      <c r="H10" s="14" t="inlineStr">
        <is>
          <t>10/9/9</t>
        </is>
      </c>
      <c r="I10" s="14" t="inlineStr">
        <is>
          <t>CW_43_Mbeam_.xlsx</t>
        </is>
      </c>
      <c r="J10" s="14" t="inlineStr">
        <is>
          <t>cw7</t>
        </is>
      </c>
      <c r="K10" s="11" t="inlineStr">
        <is>
          <t>X540 / W520 / V530.</t>
        </is>
      </c>
      <c r="L10" s="4" t="inlineStr">
        <is>
          <t>Biro Kristina</t>
        </is>
      </c>
    </row>
    <row r="11">
      <c r="A11" s="14" t="inlineStr">
        <is>
          <t>G463 Assembly</t>
        </is>
      </c>
      <c r="B11" s="14" t="n">
        <v>12</v>
      </c>
      <c r="C11" s="14" t="n">
        <v>11</v>
      </c>
      <c r="D11" s="14" t="n">
        <v>9</v>
      </c>
      <c r="E11" s="15" t="n">
        <v>31</v>
      </c>
      <c r="F11" s="14" t="n">
        <v>7</v>
      </c>
      <c r="G11" s="14" t="n">
        <v>4</v>
      </c>
      <c r="H11" s="14" t="inlineStr">
        <is>
          <t>11/11/9</t>
        </is>
      </c>
      <c r="I11" s="14" t="inlineStr">
        <is>
          <t>CW_43_G463_aktual.xlsx</t>
        </is>
      </c>
      <c r="J11" s="14" t="inlineStr">
        <is>
          <t>CW 24 2024</t>
        </is>
      </c>
      <c r="K11" s="11" t="inlineStr">
        <is>
          <t>List „CW 24 2024“ = týden 43. Lidé 18–22 / 18–06 počítáni jednou. QS na rework nepočítán.</t>
        </is>
      </c>
      <c r="L11" s="4" t="inlineStr">
        <is>
          <t>Virich Oleksandr</t>
        </is>
      </c>
    </row>
    <row r="12">
      <c r="A12" s="14" t="inlineStr">
        <is>
          <t>GB/DP</t>
        </is>
      </c>
      <c r="B12" s="14" t="n">
        <v>10</v>
      </c>
      <c r="C12" s="14" t="n">
        <v>5</v>
      </c>
      <c r="D12" s="14" t="n">
        <v>0</v>
      </c>
      <c r="E12" s="15" t="n">
        <v>15</v>
      </c>
      <c r="F12" s="14" t="n">
        <v>2</v>
      </c>
      <c r="G12" s="14" t="n">
        <v>1</v>
      </c>
      <c r="H12" s="14" t="inlineStr">
        <is>
          <t>10/5/0</t>
        </is>
      </c>
      <c r="I12" s="14" t="inlineStr">
        <is>
          <t>CW_43GBDP1.xlsx</t>
        </is>
      </c>
      <c r="J12" s="14" t="inlineStr">
        <is>
          <t>CW 24 2024</t>
        </is>
      </c>
      <c r="K12" s="11" t="inlineStr">
        <is>
          <t>Bez noční směny.</t>
        </is>
      </c>
      <c r="L12" s="4" t="inlineStr"/>
    </row>
    <row r="13">
      <c r="A13" s="14" t="inlineStr">
        <is>
          <t>Foaming K2</t>
        </is>
      </c>
      <c r="B13" s="14" t="n">
        <v>9</v>
      </c>
      <c r="C13" s="14" t="n">
        <v>7</v>
      </c>
      <c r="D13" s="14" t="n">
        <v>9</v>
      </c>
      <c r="E13" s="15" t="n">
        <v>25</v>
      </c>
      <c r="F13" s="14" t="n">
        <v>3</v>
      </c>
      <c r="G13" s="14" t="inlineStr">
        <is>
          <t>5 (TL+TR, celý Foam)</t>
        </is>
      </c>
      <c r="H13" s="14" t="inlineStr"/>
      <c r="I13" s="14" t="inlineStr">
        <is>
          <t>CW_43_Foam___.xlsx</t>
        </is>
      </c>
      <c r="J13" s="14" t="inlineStr">
        <is>
          <t>Vzor</t>
        </is>
      </c>
      <c r="K13" s="11" t="inlineStr">
        <is>
          <t>Start neděle 18:00. Pec, sekvence, manipulant, rework, karusel. Odpolední: pozice z části bez jmen.</t>
        </is>
      </c>
      <c r="L13" s="14" t="inlineStr"/>
    </row>
    <row r="14">
      <c r="A14" s="14" t="inlineStr">
        <is>
          <t>Foam Scoring</t>
        </is>
      </c>
      <c r="B14" s="14" t="n">
        <v>3</v>
      </c>
      <c r="C14" s="14" t="n">
        <v>0</v>
      </c>
      <c r="D14" s="14" t="n">
        <v>3</v>
      </c>
      <c r="E14" s="15" t="n">
        <v>6</v>
      </c>
      <c r="F14" s="14" t="n">
        <v>0</v>
      </c>
      <c r="G14" s="14" t="n">
        <v>0</v>
      </c>
      <c r="H14" s="14" t="inlineStr"/>
      <c r="I14" s="14" t="inlineStr">
        <is>
          <t>CW_43_Foam___.xlsx</t>
        </is>
      </c>
      <c r="J14" s="14" t="inlineStr">
        <is>
          <t>Vzor</t>
        </is>
      </c>
      <c r="K14" s="11" t="inlineStr">
        <is>
          <t>Scoring u K2, start 06/14/22. Odpolední: 3 pozice bez jmen.</t>
        </is>
      </c>
      <c r="L14" s="14" t="inlineStr"/>
    </row>
    <row r="15">
      <c r="A15" s="14" t="inlineStr">
        <is>
          <t>Foaming K1</t>
        </is>
      </c>
      <c r="B15" s="14" t="n">
        <v>7</v>
      </c>
      <c r="C15" s="14" t="n">
        <v>0</v>
      </c>
      <c r="D15" s="14" t="n">
        <v>0</v>
      </c>
      <c r="E15" s="15" t="n">
        <v>7</v>
      </c>
      <c r="F15" s="14" t="n">
        <v>7</v>
      </c>
      <c r="G15" s="14" t="n">
        <v>0</v>
      </c>
      <c r="H15" s="14" t="inlineStr"/>
      <c r="I15" s="14" t="inlineStr">
        <is>
          <t>CW_43_Foam___.xlsx</t>
        </is>
      </c>
      <c r="J15" s="14" t="inlineStr">
        <is>
          <t>Vzor</t>
        </is>
      </c>
      <c r="K15" s="11" t="inlineStr">
        <is>
          <t>Start pondělí 6:00. Jede jen ranní 12h (06–18), 7 OP; odpolední a noční jen pozice bez jmen → K1 jede 1 směnu denně.</t>
        </is>
      </c>
      <c r="L15" s="14" t="inlineStr"/>
    </row>
    <row r="16">
      <c r="A16" s="14" t="inlineStr">
        <is>
          <t>G463 Prefix</t>
        </is>
      </c>
      <c r="B16" s="14" t="inlineStr">
        <is>
          <t>24 / 20</t>
        </is>
      </c>
      <c r="C16" s="14" t="n">
        <v>12</v>
      </c>
      <c r="D16" s="14" t="n">
        <v>24</v>
      </c>
      <c r="E16" s="15" t="n">
        <v>60</v>
      </c>
      <c r="F16" s="14" t="n">
        <v>68</v>
      </c>
      <c r="G16" s="14" t="inlineStr">
        <is>
          <t>2/3/1/3</t>
        </is>
      </c>
      <c r="H16" s="14" t="inlineStr"/>
      <c r="I16" s="14" t="inlineStr">
        <is>
          <t>Prefix_akrual.xlsx</t>
        </is>
      </c>
      <c r="J16" s="14" t="inlineStr">
        <is>
          <t>WEEK17</t>
        </is>
      </c>
      <c r="K16" s="11" t="inlineStr">
        <is>
          <t>Ranní: dvě 12h party A/B (střídají se). OP za den = party A + odpolední + noční. Celkem všech part: 80. Není v převodníku jako samostatný projekt.</t>
        </is>
      </c>
      <c r="L16" s="4" t="inlineStr">
        <is>
          <t>Virich Oleksandr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30" customWidth="1" min="3" max="3"/>
    <col width="26" customWidth="1" min="4" max="4"/>
    <col width="16" customWidth="1" min="5" max="5"/>
    <col width="28" customWidth="1" min="6" max="6"/>
    <col width="12" customWidth="1" min="7" max="7"/>
    <col width="7" customWidth="1" min="8" max="8"/>
  </cols>
  <sheetData>
    <row r="1">
      <c r="A1" s="13" t="inlineStr">
        <is>
          <t>Rozpis</t>
        </is>
      </c>
      <c r="B1" s="13" t="inlineStr">
        <is>
          <t>Směna</t>
        </is>
      </c>
      <c r="C1" s="13" t="inlineStr">
        <is>
          <t>Jméno</t>
        </is>
      </c>
      <c r="D1" s="13" t="inlineStr">
        <is>
          <t>Pozice</t>
        </is>
      </c>
      <c r="E1" s="13" t="inlineStr">
        <is>
          <t>Čas</t>
        </is>
      </c>
      <c r="F1" s="13" t="inlineStr">
        <is>
          <t>Soubor</t>
        </is>
      </c>
      <c r="G1" s="13" t="inlineStr">
        <is>
          <t>List</t>
        </is>
      </c>
      <c r="H1" s="13" t="inlineStr">
        <is>
          <t>Řádek</t>
        </is>
      </c>
    </row>
    <row r="2">
      <c r="A2" t="inlineStr">
        <is>
          <t>OV51/64</t>
        </is>
      </c>
      <c r="B2" t="inlineStr">
        <is>
          <t>R</t>
        </is>
      </c>
      <c r="C2" t="inlineStr">
        <is>
          <t>Macha Michal</t>
        </is>
      </c>
      <c r="D2" t="inlineStr">
        <is>
          <t>Punching</t>
        </is>
      </c>
      <c r="E2" t="inlineStr">
        <is>
          <t>06:00-14:00</t>
        </is>
      </c>
      <c r="F2" t="inlineStr">
        <is>
          <t>CW43_OV_51_64.xlsx</t>
        </is>
      </c>
      <c r="G2" t="inlineStr">
        <is>
          <t>CW43</t>
        </is>
      </c>
      <c r="H2" t="n">
        <v>15</v>
      </c>
    </row>
    <row r="3">
      <c r="A3" t="inlineStr">
        <is>
          <t>OV51/64</t>
        </is>
      </c>
      <c r="B3" t="inlineStr">
        <is>
          <t>N</t>
        </is>
      </c>
      <c r="C3" t="inlineStr">
        <is>
          <t>Rotaras V./Ilhak Y.</t>
        </is>
      </c>
      <c r="D3" t="inlineStr">
        <is>
          <t>Punching</t>
        </is>
      </c>
      <c r="E3" t="inlineStr">
        <is>
          <t>22:00-06:00</t>
        </is>
      </c>
      <c r="F3" t="inlineStr">
        <is>
          <t>CW43_OV_51_64.xlsx</t>
        </is>
      </c>
      <c r="G3" t="inlineStr">
        <is>
          <t>CW43</t>
        </is>
      </c>
      <c r="H3" t="n">
        <v>15</v>
      </c>
    </row>
    <row r="4">
      <c r="A4" t="inlineStr">
        <is>
          <t>OV51/64</t>
        </is>
      </c>
      <c r="B4" t="inlineStr">
        <is>
          <t>R</t>
        </is>
      </c>
      <c r="C4" t="inlineStr">
        <is>
          <t>Synyshyn Vitalii</t>
        </is>
      </c>
      <c r="D4" t="inlineStr">
        <is>
          <t>Milling</t>
        </is>
      </c>
      <c r="E4" t="inlineStr">
        <is>
          <t>06:00-14:00</t>
        </is>
      </c>
      <c r="F4" t="inlineStr">
        <is>
          <t>CW43_OV_51_64.xlsx</t>
        </is>
      </c>
      <c r="G4" t="inlineStr">
        <is>
          <t>CW43</t>
        </is>
      </c>
      <c r="H4" t="n">
        <v>16</v>
      </c>
    </row>
    <row r="5">
      <c r="A5" t="inlineStr">
        <is>
          <t>OV51/64</t>
        </is>
      </c>
      <c r="B5" t="inlineStr">
        <is>
          <t>N</t>
        </is>
      </c>
      <c r="C5" t="inlineStr">
        <is>
          <t>Vakulenko Yurii</t>
        </is>
      </c>
      <c r="D5" t="inlineStr">
        <is>
          <t>Milling</t>
        </is>
      </c>
      <c r="E5" t="inlineStr">
        <is>
          <t>22:00-06:00</t>
        </is>
      </c>
      <c r="F5" t="inlineStr">
        <is>
          <t>CW43_OV_51_64.xlsx</t>
        </is>
      </c>
      <c r="G5" t="inlineStr">
        <is>
          <t>CW43</t>
        </is>
      </c>
      <c r="H5" t="n">
        <v>16</v>
      </c>
    </row>
    <row r="6">
      <c r="A6" t="inlineStr">
        <is>
          <t>OV51/64</t>
        </is>
      </c>
      <c r="B6" t="inlineStr">
        <is>
          <t>R</t>
        </is>
      </c>
      <c r="C6" t="inlineStr">
        <is>
          <t>Volkova Olena</t>
        </is>
      </c>
      <c r="D6" t="inlineStr">
        <is>
          <t>Welding</t>
        </is>
      </c>
      <c r="E6" t="inlineStr">
        <is>
          <t>06:00-14:00</t>
        </is>
      </c>
      <c r="F6" t="inlineStr">
        <is>
          <t>CW43_OV_51_64.xlsx</t>
        </is>
      </c>
      <c r="G6" t="inlineStr">
        <is>
          <t>CW43</t>
        </is>
      </c>
      <c r="H6" t="n">
        <v>17</v>
      </c>
    </row>
    <row r="7">
      <c r="A7" t="inlineStr">
        <is>
          <t>OV51/64</t>
        </is>
      </c>
      <c r="B7" t="inlineStr">
        <is>
          <t>N</t>
        </is>
      </c>
      <c r="C7" t="inlineStr">
        <is>
          <t>Potekhina Ksenia</t>
        </is>
      </c>
      <c r="D7" t="inlineStr">
        <is>
          <t>Welding</t>
        </is>
      </c>
      <c r="E7" t="inlineStr">
        <is>
          <t>22:00-06:00</t>
        </is>
      </c>
      <c r="F7" t="inlineStr">
        <is>
          <t>CW43_OV_51_64.xlsx</t>
        </is>
      </c>
      <c r="G7" t="inlineStr">
        <is>
          <t>CW43</t>
        </is>
      </c>
      <c r="H7" t="n">
        <v>17</v>
      </c>
    </row>
    <row r="8">
      <c r="A8" t="inlineStr">
        <is>
          <t>OV51/64</t>
        </is>
      </c>
      <c r="B8" t="inlineStr">
        <is>
          <t>R</t>
        </is>
      </c>
      <c r="C8" t="inlineStr">
        <is>
          <t>Sačipovič Nataša</t>
        </is>
      </c>
      <c r="D8" t="inlineStr">
        <is>
          <t>Assy Airbag</t>
        </is>
      </c>
      <c r="E8" t="inlineStr">
        <is>
          <t>06:00-14:00</t>
        </is>
      </c>
      <c r="F8" t="inlineStr">
        <is>
          <t>CW43_OV_51_64.xlsx</t>
        </is>
      </c>
      <c r="G8" t="inlineStr">
        <is>
          <t>CW43</t>
        </is>
      </c>
      <c r="H8" t="n">
        <v>18</v>
      </c>
    </row>
    <row r="9">
      <c r="A9" t="inlineStr">
        <is>
          <t>OV51/64</t>
        </is>
      </c>
      <c r="B9" t="inlineStr">
        <is>
          <t>N</t>
        </is>
      </c>
      <c r="C9" t="inlineStr">
        <is>
          <t>Rotaras Aliona</t>
        </is>
      </c>
      <c r="D9" t="inlineStr">
        <is>
          <t>Assy Airbag</t>
        </is>
      </c>
      <c r="E9" t="inlineStr">
        <is>
          <t>22:00-06:00</t>
        </is>
      </c>
      <c r="F9" t="inlineStr">
        <is>
          <t>CW43_OV_51_64.xlsx</t>
        </is>
      </c>
      <c r="G9" t="inlineStr">
        <is>
          <t>CW43</t>
        </is>
      </c>
      <c r="H9" t="n">
        <v>18</v>
      </c>
    </row>
    <row r="10">
      <c r="A10" t="inlineStr">
        <is>
          <t>OV51/64</t>
        </is>
      </c>
      <c r="B10" t="inlineStr">
        <is>
          <t>R</t>
        </is>
      </c>
      <c r="C10" t="inlineStr">
        <is>
          <t>Popova Ludmyla</t>
        </is>
      </c>
      <c r="D10" t="inlineStr">
        <is>
          <t>Klipping</t>
        </is>
      </c>
      <c r="E10" t="inlineStr">
        <is>
          <t>06:00-14:00</t>
        </is>
      </c>
      <c r="F10" t="inlineStr">
        <is>
          <t>CW43_OV_51_64.xlsx</t>
        </is>
      </c>
      <c r="G10" t="inlineStr">
        <is>
          <t>CW43</t>
        </is>
      </c>
      <c r="H10" t="n">
        <v>19</v>
      </c>
    </row>
    <row r="11">
      <c r="A11" t="inlineStr">
        <is>
          <t>OV51/64</t>
        </is>
      </c>
      <c r="B11" t="inlineStr">
        <is>
          <t>N</t>
        </is>
      </c>
      <c r="C11" t="inlineStr">
        <is>
          <t>Kodymskyi/Karpov R</t>
        </is>
      </c>
      <c r="D11" t="inlineStr">
        <is>
          <t>Preassy</t>
        </is>
      </c>
      <c r="E11" t="inlineStr">
        <is>
          <t>22:00-06:00</t>
        </is>
      </c>
      <c r="F11" t="inlineStr">
        <is>
          <t>CW43_OV_51_64.xlsx</t>
        </is>
      </c>
      <c r="G11" t="inlineStr">
        <is>
          <t>CW43</t>
        </is>
      </c>
      <c r="H11" t="n">
        <v>19</v>
      </c>
    </row>
    <row r="12">
      <c r="A12" t="inlineStr">
        <is>
          <t>OV51/64</t>
        </is>
      </c>
      <c r="B12" t="inlineStr">
        <is>
          <t>R</t>
        </is>
      </c>
      <c r="C12" t="inlineStr">
        <is>
          <t>Berchi Catalin</t>
        </is>
      </c>
      <c r="D12" t="inlineStr">
        <is>
          <t>Preassy</t>
        </is>
      </c>
      <c r="E12" t="inlineStr">
        <is>
          <t>06:00-14:00</t>
        </is>
      </c>
      <c r="F12" t="inlineStr">
        <is>
          <t>CW43_OV_51_64.xlsx</t>
        </is>
      </c>
      <c r="G12" t="inlineStr">
        <is>
          <t>CW43</t>
        </is>
      </c>
      <c r="H12" t="n">
        <v>20</v>
      </c>
    </row>
    <row r="13">
      <c r="A13" t="inlineStr">
        <is>
          <t>OV51/64</t>
        </is>
      </c>
      <c r="B13" t="inlineStr">
        <is>
          <t>N</t>
        </is>
      </c>
      <c r="C13" t="inlineStr">
        <is>
          <t>Kupych Volodymyr</t>
        </is>
      </c>
      <c r="D13" t="inlineStr">
        <is>
          <t>Station 1</t>
        </is>
      </c>
      <c r="E13" t="inlineStr">
        <is>
          <t>22:00-06:00</t>
        </is>
      </c>
      <c r="F13" t="inlineStr">
        <is>
          <t>CW43_OV_51_64.xlsx</t>
        </is>
      </c>
      <c r="G13" t="inlineStr">
        <is>
          <t>CW43</t>
        </is>
      </c>
      <c r="H13" t="n">
        <v>20</v>
      </c>
    </row>
    <row r="14">
      <c r="A14" t="inlineStr">
        <is>
          <t>OV51/64</t>
        </is>
      </c>
      <c r="B14" t="inlineStr">
        <is>
          <t>R</t>
        </is>
      </c>
      <c r="C14" t="inlineStr">
        <is>
          <t>Popov Serhii</t>
        </is>
      </c>
      <c r="D14" t="inlineStr">
        <is>
          <t>Station 1</t>
        </is>
      </c>
      <c r="E14" t="inlineStr">
        <is>
          <t>06:00-14:00</t>
        </is>
      </c>
      <c r="F14" t="inlineStr">
        <is>
          <t>CW43_OV_51_64.xlsx</t>
        </is>
      </c>
      <c r="G14" t="inlineStr">
        <is>
          <t>CW43</t>
        </is>
      </c>
      <c r="H14" t="n">
        <v>21</v>
      </c>
    </row>
    <row r="15">
      <c r="A15" t="inlineStr">
        <is>
          <t>OV51/64</t>
        </is>
      </c>
      <c r="B15" t="inlineStr">
        <is>
          <t>N</t>
        </is>
      </c>
      <c r="C15" t="inlineStr">
        <is>
          <t>Mialo Olga</t>
        </is>
      </c>
      <c r="D15" t="inlineStr">
        <is>
          <t>Station 2</t>
        </is>
      </c>
      <c r="E15" t="inlineStr">
        <is>
          <t>22:00-06:00</t>
        </is>
      </c>
      <c r="F15" t="inlineStr">
        <is>
          <t>CW43_OV_51_64.xlsx</t>
        </is>
      </c>
      <c r="G15" t="inlineStr">
        <is>
          <t>CW43</t>
        </is>
      </c>
      <c r="H15" t="n">
        <v>21</v>
      </c>
    </row>
    <row r="16">
      <c r="A16" t="inlineStr">
        <is>
          <t>OV51/64</t>
        </is>
      </c>
      <c r="B16" t="inlineStr">
        <is>
          <t>R</t>
        </is>
      </c>
      <c r="C16" t="inlineStr">
        <is>
          <t>Roinitsa Yevheniia</t>
        </is>
      </c>
      <c r="D16" t="inlineStr">
        <is>
          <t>Station 2</t>
        </is>
      </c>
      <c r="E16" t="inlineStr">
        <is>
          <t>06:00-18:00</t>
        </is>
      </c>
      <c r="F16" t="inlineStr">
        <is>
          <t>CW43_OV_51_64.xlsx</t>
        </is>
      </c>
      <c r="G16" t="inlineStr">
        <is>
          <t>CW43</t>
        </is>
      </c>
      <c r="H16" t="n">
        <v>22</v>
      </c>
    </row>
    <row r="17">
      <c r="A17" t="inlineStr">
        <is>
          <t>OV51/64</t>
        </is>
      </c>
      <c r="B17" t="inlineStr">
        <is>
          <t>N</t>
        </is>
      </c>
      <c r="C17" t="inlineStr">
        <is>
          <t>Kupych Natalia</t>
        </is>
      </c>
      <c r="D17" t="inlineStr">
        <is>
          <t>Station 3</t>
        </is>
      </c>
      <c r="E17" t="inlineStr">
        <is>
          <t>22:00-06:00</t>
        </is>
      </c>
      <c r="F17" t="inlineStr">
        <is>
          <t>CW43_OV_51_64.xlsx</t>
        </is>
      </c>
      <c r="G17" t="inlineStr">
        <is>
          <t>CW43</t>
        </is>
      </c>
      <c r="H17" t="n">
        <v>22</v>
      </c>
    </row>
    <row r="18">
      <c r="A18" t="inlineStr">
        <is>
          <t>OV51/64</t>
        </is>
      </c>
      <c r="B18" t="inlineStr">
        <is>
          <t>R</t>
        </is>
      </c>
      <c r="C18" t="inlineStr">
        <is>
          <t>Maksimenko Liudmila</t>
        </is>
      </c>
      <c r="D18" t="inlineStr">
        <is>
          <t>Station 3</t>
        </is>
      </c>
      <c r="E18" t="inlineStr">
        <is>
          <t>06:00-18:00</t>
        </is>
      </c>
      <c r="F18" t="inlineStr">
        <is>
          <t>CW43_OV_51_64.xlsx</t>
        </is>
      </c>
      <c r="G18" t="inlineStr">
        <is>
          <t>CW43</t>
        </is>
      </c>
      <c r="H18" t="n">
        <v>23</v>
      </c>
    </row>
    <row r="19">
      <c r="A19" t="inlineStr">
        <is>
          <t>OV51/64</t>
        </is>
      </c>
      <c r="B19" t="inlineStr">
        <is>
          <t>N</t>
        </is>
      </c>
      <c r="C19" t="inlineStr">
        <is>
          <t>Voican Sebastian</t>
        </is>
      </c>
      <c r="D19" t="inlineStr">
        <is>
          <t>Station 4</t>
        </is>
      </c>
      <c r="E19" t="inlineStr">
        <is>
          <t>22:00-06:00</t>
        </is>
      </c>
      <c r="F19" t="inlineStr">
        <is>
          <t>CW43_OV_51_64.xlsx</t>
        </is>
      </c>
      <c r="G19" t="inlineStr">
        <is>
          <t>CW43</t>
        </is>
      </c>
      <c r="H19" t="n">
        <v>23</v>
      </c>
    </row>
    <row r="20">
      <c r="A20" t="inlineStr">
        <is>
          <t>OV51/64</t>
        </is>
      </c>
      <c r="B20" t="inlineStr">
        <is>
          <t>R</t>
        </is>
      </c>
      <c r="C20" t="inlineStr">
        <is>
          <t>Turcu Cristian</t>
        </is>
      </c>
      <c r="D20" t="inlineStr">
        <is>
          <t>Station 4</t>
        </is>
      </c>
      <c r="E20" t="inlineStr">
        <is>
          <t>06:00-14:00</t>
        </is>
      </c>
      <c r="F20" t="inlineStr">
        <is>
          <t>CW43_OV_51_64.xlsx</t>
        </is>
      </c>
      <c r="G20" t="inlineStr">
        <is>
          <t>CW43</t>
        </is>
      </c>
      <c r="H20" t="n">
        <v>24</v>
      </c>
    </row>
    <row r="21">
      <c r="A21" t="inlineStr">
        <is>
          <t>OV51/64</t>
        </is>
      </c>
      <c r="B21" t="inlineStr">
        <is>
          <t>N</t>
        </is>
      </c>
      <c r="C21" t="inlineStr">
        <is>
          <t>Artomova Viktoria</t>
        </is>
      </c>
      <c r="D21" t="inlineStr">
        <is>
          <t>Station 5</t>
        </is>
      </c>
      <c r="E21" t="inlineStr">
        <is>
          <t>22:00-06:00</t>
        </is>
      </c>
      <c r="F21" t="inlineStr">
        <is>
          <t>CW43_OV_51_64.xlsx</t>
        </is>
      </c>
      <c r="G21" t="inlineStr">
        <is>
          <t>CW43</t>
        </is>
      </c>
      <c r="H21" t="n">
        <v>24</v>
      </c>
    </row>
    <row r="22">
      <c r="A22" t="inlineStr">
        <is>
          <t>OV51/64</t>
        </is>
      </c>
      <c r="B22" t="inlineStr">
        <is>
          <t>R</t>
        </is>
      </c>
      <c r="C22" t="inlineStr">
        <is>
          <t>Marchidan/Pashchenko</t>
        </is>
      </c>
      <c r="D22" t="inlineStr">
        <is>
          <t>Station 5</t>
        </is>
      </c>
      <c r="E22" t="inlineStr">
        <is>
          <t>06:00-14:00</t>
        </is>
      </c>
      <c r="F22" t="inlineStr">
        <is>
          <t>CW43_OV_51_64.xlsx</t>
        </is>
      </c>
      <c r="G22" t="inlineStr">
        <is>
          <t>CW43</t>
        </is>
      </c>
      <c r="H22" t="n">
        <v>25</v>
      </c>
    </row>
    <row r="23">
      <c r="A23" t="inlineStr">
        <is>
          <t>OV51/64</t>
        </is>
      </c>
      <c r="B23" t="inlineStr">
        <is>
          <t>N</t>
        </is>
      </c>
      <c r="C23" t="inlineStr">
        <is>
          <t>Oksana Yakuchenko</t>
        </is>
      </c>
      <c r="D23" t="inlineStr">
        <is>
          <t>Station 6</t>
        </is>
      </c>
      <c r="E23" t="inlineStr">
        <is>
          <t>22:00-06:00</t>
        </is>
      </c>
      <c r="F23" t="inlineStr">
        <is>
          <t>CW43_OV_51_64.xlsx</t>
        </is>
      </c>
      <c r="G23" t="inlineStr">
        <is>
          <t>CW43</t>
        </is>
      </c>
      <c r="H23" t="n">
        <v>25</v>
      </c>
    </row>
    <row r="24">
      <c r="A24" t="inlineStr">
        <is>
          <t>OV51/64</t>
        </is>
      </c>
      <c r="B24" t="inlineStr">
        <is>
          <t>R</t>
        </is>
      </c>
      <c r="C24" t="inlineStr">
        <is>
          <t>Biro Kristina</t>
        </is>
      </c>
      <c r="D24" t="inlineStr">
        <is>
          <t>Station 6</t>
        </is>
      </c>
      <c r="E24" t="inlineStr">
        <is>
          <t>06:00-14:00</t>
        </is>
      </c>
      <c r="F24" t="inlineStr">
        <is>
          <t>CW43_OV_51_64.xlsx</t>
        </is>
      </c>
      <c r="G24" t="inlineStr">
        <is>
          <t>CW43</t>
        </is>
      </c>
      <c r="H24" t="n">
        <v>26</v>
      </c>
    </row>
    <row r="25">
      <c r="A25" t="inlineStr">
        <is>
          <t>OV51/64</t>
        </is>
      </c>
      <c r="B25" t="inlineStr">
        <is>
          <t>N</t>
        </is>
      </c>
      <c r="C25" t="inlineStr">
        <is>
          <t>Triksha Maryna</t>
        </is>
      </c>
      <c r="D25" t="inlineStr">
        <is>
          <t>Station 7</t>
        </is>
      </c>
      <c r="E25" t="inlineStr">
        <is>
          <t>22:00-06:00</t>
        </is>
      </c>
      <c r="F25" t="inlineStr">
        <is>
          <t>CW43_OV_51_64.xlsx</t>
        </is>
      </c>
      <c r="G25" t="inlineStr">
        <is>
          <t>CW43</t>
        </is>
      </c>
      <c r="H25" t="n">
        <v>26</v>
      </c>
    </row>
    <row r="26">
      <c r="A26" t="inlineStr">
        <is>
          <t>OV51/64</t>
        </is>
      </c>
      <c r="B26" t="inlineStr">
        <is>
          <t>R</t>
        </is>
      </c>
      <c r="C26" t="inlineStr">
        <is>
          <t>Riezienova Valerie</t>
        </is>
      </c>
      <c r="D26" t="inlineStr">
        <is>
          <t>Station 7</t>
        </is>
      </c>
      <c r="E26" t="inlineStr">
        <is>
          <t>06:00-14:00</t>
        </is>
      </c>
      <c r="F26" t="inlineStr">
        <is>
          <t>CW43_OV_51_64.xlsx</t>
        </is>
      </c>
      <c r="G26" t="inlineStr">
        <is>
          <t>CW43</t>
        </is>
      </c>
      <c r="H26" t="n">
        <v>27</v>
      </c>
    </row>
    <row r="27">
      <c r="A27" t="inlineStr">
        <is>
          <t>OV51/64</t>
        </is>
      </c>
      <c r="B27" t="inlineStr">
        <is>
          <t>N</t>
        </is>
      </c>
      <c r="C27" t="inlineStr">
        <is>
          <t>Naumeko Yuliia</t>
        </is>
      </c>
      <c r="D27" t="inlineStr">
        <is>
          <t>RW+sk336</t>
        </is>
      </c>
      <c r="E27" t="inlineStr">
        <is>
          <t>22:00-06:00</t>
        </is>
      </c>
      <c r="F27" t="inlineStr">
        <is>
          <t>CW43_OV_51_64.xlsx</t>
        </is>
      </c>
      <c r="G27" t="inlineStr">
        <is>
          <t>CW43</t>
        </is>
      </c>
      <c r="H27" t="n">
        <v>27</v>
      </c>
    </row>
    <row r="28">
      <c r="A28" t="inlineStr">
        <is>
          <t>OV51/64</t>
        </is>
      </c>
      <c r="B28" t="inlineStr">
        <is>
          <t>R</t>
        </is>
      </c>
      <c r="C28" t="inlineStr">
        <is>
          <t>Tsiple Maryna</t>
        </is>
      </c>
      <c r="D28" t="inlineStr">
        <is>
          <t>RW+sk336</t>
        </is>
      </c>
      <c r="E28" t="inlineStr">
        <is>
          <t>06:00-14:00</t>
        </is>
      </c>
      <c r="F28" t="inlineStr">
        <is>
          <t>CW43_OV_51_64.xlsx</t>
        </is>
      </c>
      <c r="G28" t="inlineStr">
        <is>
          <t>CW43</t>
        </is>
      </c>
      <c r="H28" t="n">
        <v>28</v>
      </c>
    </row>
    <row r="29">
      <c r="A29" t="inlineStr">
        <is>
          <t>IMM</t>
        </is>
      </c>
      <c r="B29" t="inlineStr">
        <is>
          <t>R</t>
        </is>
      </c>
      <c r="C29" t="inlineStr">
        <is>
          <t>Gurung Singh Aita</t>
        </is>
      </c>
      <c r="D29" t="inlineStr">
        <is>
          <t>materialista</t>
        </is>
      </c>
      <c r="E29" t="inlineStr">
        <is>
          <t>06:00 - 14:00</t>
        </is>
      </c>
      <c r="F29" t="inlineStr">
        <is>
          <t>CW_43_IMM.xlsx</t>
        </is>
      </c>
      <c r="G29" t="inlineStr">
        <is>
          <t>CW43</t>
        </is>
      </c>
      <c r="H29" t="n">
        <v>12</v>
      </c>
    </row>
    <row r="30">
      <c r="A30" t="inlineStr">
        <is>
          <t>IMM</t>
        </is>
      </c>
      <c r="B30" t="inlineStr">
        <is>
          <t>O</t>
        </is>
      </c>
      <c r="C30" t="inlineStr">
        <is>
          <t>Hamerle Jiří</t>
        </is>
      </c>
      <c r="D30" t="inlineStr">
        <is>
          <t>materialista</t>
        </is>
      </c>
      <c r="E30" t="inlineStr">
        <is>
          <t>14:00 - 22:00</t>
        </is>
      </c>
      <c r="F30" t="inlineStr">
        <is>
          <t>CW_43_IMM.xlsx</t>
        </is>
      </c>
      <c r="G30" t="inlineStr">
        <is>
          <t>CW43</t>
        </is>
      </c>
      <c r="H30" t="n">
        <v>12</v>
      </c>
    </row>
    <row r="31">
      <c r="A31" t="inlineStr">
        <is>
          <t>IMM</t>
        </is>
      </c>
      <c r="B31" t="inlineStr">
        <is>
          <t>N</t>
        </is>
      </c>
      <c r="C31" t="inlineStr">
        <is>
          <t>Svatek Luděk</t>
        </is>
      </c>
      <c r="D31" t="inlineStr">
        <is>
          <t>materialista</t>
        </is>
      </c>
      <c r="E31" t="inlineStr">
        <is>
          <t>22:00-06:00</t>
        </is>
      </c>
      <c r="F31" t="inlineStr">
        <is>
          <t>CW_43_IMM.xlsx</t>
        </is>
      </c>
      <c r="G31" t="inlineStr">
        <is>
          <t>CW43</t>
        </is>
      </c>
      <c r="H31" t="n">
        <v>12</v>
      </c>
    </row>
    <row r="32">
      <c r="A32" t="inlineStr">
        <is>
          <t>IMM</t>
        </is>
      </c>
      <c r="B32" t="inlineStr">
        <is>
          <t>R</t>
        </is>
      </c>
      <c r="C32" t="inlineStr">
        <is>
          <t>Cnosta Jiří</t>
        </is>
      </c>
      <c r="D32" t="inlineStr">
        <is>
          <t>materialista</t>
        </is>
      </c>
      <c r="E32" t="inlineStr">
        <is>
          <t>06:00 - 14:00</t>
        </is>
      </c>
      <c r="F32" t="inlineStr">
        <is>
          <t>CW_43_IMM.xlsx</t>
        </is>
      </c>
      <c r="G32" t="inlineStr">
        <is>
          <t>CW43</t>
        </is>
      </c>
      <c r="H32" t="n">
        <v>13</v>
      </c>
    </row>
    <row r="33">
      <c r="A33" t="inlineStr">
        <is>
          <t>IMM</t>
        </is>
      </c>
      <c r="B33" t="inlineStr">
        <is>
          <t>R</t>
        </is>
      </c>
      <c r="C33" t="inlineStr">
        <is>
          <t>Vracovský Vojtěch</t>
        </is>
      </c>
      <c r="D33" t="inlineStr">
        <is>
          <t>laser</t>
        </is>
      </c>
      <c r="E33" t="inlineStr">
        <is>
          <t>06:00 - 14:00</t>
        </is>
      </c>
      <c r="F33" t="inlineStr">
        <is>
          <t>CW_43_IMM.xlsx</t>
        </is>
      </c>
      <c r="G33" t="inlineStr">
        <is>
          <t>CW43</t>
        </is>
      </c>
      <c r="H33" t="n">
        <v>14</v>
      </c>
    </row>
    <row r="34">
      <c r="A34" t="inlineStr">
        <is>
          <t>IMM</t>
        </is>
      </c>
      <c r="B34" t="inlineStr">
        <is>
          <t>O</t>
        </is>
      </c>
      <c r="C34" t="inlineStr">
        <is>
          <t>Vezhbytskyi Ihor</t>
        </is>
      </c>
      <c r="D34" t="inlineStr">
        <is>
          <t>laser</t>
        </is>
      </c>
      <c r="E34" t="inlineStr">
        <is>
          <t>14:00 - 22:00</t>
        </is>
      </c>
      <c r="F34" t="inlineStr">
        <is>
          <t>CW_43_IMM.xlsx</t>
        </is>
      </c>
      <c r="G34" t="inlineStr">
        <is>
          <t>CW43</t>
        </is>
      </c>
      <c r="H34" t="n">
        <v>14</v>
      </c>
    </row>
    <row r="35">
      <c r="A35" t="inlineStr">
        <is>
          <t>IMM</t>
        </is>
      </c>
      <c r="B35" t="inlineStr">
        <is>
          <t>N</t>
        </is>
      </c>
      <c r="C35" t="inlineStr">
        <is>
          <t>Shmatko Oleksandr</t>
        </is>
      </c>
      <c r="D35" t="inlineStr">
        <is>
          <t>laser</t>
        </is>
      </c>
      <c r="E35" t="inlineStr">
        <is>
          <t>22:00-06:00</t>
        </is>
      </c>
      <c r="F35" t="inlineStr">
        <is>
          <t>CW_43_IMM.xlsx</t>
        </is>
      </c>
      <c r="G35" t="inlineStr">
        <is>
          <t>CW43</t>
        </is>
      </c>
      <c r="H35" t="n">
        <v>14</v>
      </c>
    </row>
    <row r="36">
      <c r="A36" t="inlineStr">
        <is>
          <t>IMM</t>
        </is>
      </c>
      <c r="B36" t="inlineStr">
        <is>
          <t>R</t>
        </is>
      </c>
      <c r="C36" t="inlineStr">
        <is>
          <t>Gurung Nabin</t>
        </is>
      </c>
      <c r="E36" t="inlineStr">
        <is>
          <t>06:00 - 18:00</t>
        </is>
      </c>
      <c r="F36" t="inlineStr">
        <is>
          <t>CW_43_IMM.xlsx</t>
        </is>
      </c>
      <c r="G36" t="inlineStr">
        <is>
          <t>CW43</t>
        </is>
      </c>
      <c r="H36" t="n">
        <v>15</v>
      </c>
    </row>
    <row r="37">
      <c r="A37" t="inlineStr">
        <is>
          <t>IMM</t>
        </is>
      </c>
      <c r="B37" t="inlineStr">
        <is>
          <t>O</t>
        </is>
      </c>
      <c r="C37" t="inlineStr">
        <is>
          <t>Šimečková Květoslava</t>
        </is>
      </c>
      <c r="E37" t="inlineStr">
        <is>
          <t>14:00 - 22:00</t>
        </is>
      </c>
      <c r="F37" t="inlineStr">
        <is>
          <t>CW_43_IMM.xlsx</t>
        </is>
      </c>
      <c r="G37" t="inlineStr">
        <is>
          <t>CW43</t>
        </is>
      </c>
      <c r="H37" t="n">
        <v>15</v>
      </c>
    </row>
    <row r="38">
      <c r="A38" t="inlineStr">
        <is>
          <t>IMM</t>
        </is>
      </c>
      <c r="B38" t="inlineStr">
        <is>
          <t>N</t>
        </is>
      </c>
      <c r="C38" t="inlineStr">
        <is>
          <t>Tóth Lajos</t>
        </is>
      </c>
      <c r="E38" t="inlineStr">
        <is>
          <t>22:00-06:00</t>
        </is>
      </c>
      <c r="F38" t="inlineStr">
        <is>
          <t>CW_43_IMM.xlsx</t>
        </is>
      </c>
      <c r="G38" t="inlineStr">
        <is>
          <t>CW43</t>
        </is>
      </c>
      <c r="H38" t="n">
        <v>15</v>
      </c>
    </row>
    <row r="39">
      <c r="A39" t="inlineStr">
        <is>
          <t>IMM</t>
        </is>
      </c>
      <c r="B39" t="inlineStr">
        <is>
          <t>R</t>
        </is>
      </c>
      <c r="C39" t="inlineStr">
        <is>
          <t>Tomšů Libuše</t>
        </is>
      </c>
      <c r="E39" t="inlineStr">
        <is>
          <t>06:00 - 14:00</t>
        </is>
      </c>
      <c r="F39" t="inlineStr">
        <is>
          <t>CW_43_IMM.xlsx</t>
        </is>
      </c>
      <c r="G39" t="inlineStr">
        <is>
          <t>CW43</t>
        </is>
      </c>
      <c r="H39" t="n">
        <v>16</v>
      </c>
    </row>
    <row r="40">
      <c r="A40" t="inlineStr">
        <is>
          <t>IMM</t>
        </is>
      </c>
      <c r="B40" t="inlineStr">
        <is>
          <t>O</t>
        </is>
      </c>
      <c r="C40" t="inlineStr">
        <is>
          <t>Rabinský Jiří</t>
        </is>
      </c>
      <c r="E40" t="inlineStr">
        <is>
          <t>14:00 - 22:00</t>
        </is>
      </c>
      <c r="F40" t="inlineStr">
        <is>
          <t>CW_43_IMM.xlsx</t>
        </is>
      </c>
      <c r="G40" t="inlineStr">
        <is>
          <t>CW43</t>
        </is>
      </c>
      <c r="H40" t="n">
        <v>16</v>
      </c>
    </row>
    <row r="41">
      <c r="A41" t="inlineStr">
        <is>
          <t>IMM</t>
        </is>
      </c>
      <c r="B41" t="inlineStr">
        <is>
          <t>N</t>
        </is>
      </c>
      <c r="C41" t="inlineStr">
        <is>
          <t>Molnár Melinda</t>
        </is>
      </c>
      <c r="E41" t="inlineStr">
        <is>
          <t>22:00-06:00</t>
        </is>
      </c>
      <c r="F41" t="inlineStr">
        <is>
          <t>CW_43_IMM.xlsx</t>
        </is>
      </c>
      <c r="G41" t="inlineStr">
        <is>
          <t>CW43</t>
        </is>
      </c>
      <c r="H41" t="n">
        <v>16</v>
      </c>
    </row>
    <row r="42">
      <c r="A42" t="inlineStr">
        <is>
          <t>IMM</t>
        </is>
      </c>
      <c r="B42" t="inlineStr">
        <is>
          <t>R</t>
        </is>
      </c>
      <c r="C42" t="inlineStr">
        <is>
          <t>Štěrbová Veronika</t>
        </is>
      </c>
      <c r="E42" t="inlineStr">
        <is>
          <t>06:00 - 14:00</t>
        </is>
      </c>
      <c r="F42" t="inlineStr">
        <is>
          <t>CW_43_IMM.xlsx</t>
        </is>
      </c>
      <c r="G42" t="inlineStr">
        <is>
          <t>CW43</t>
        </is>
      </c>
      <c r="H42" t="n">
        <v>17</v>
      </c>
    </row>
    <row r="43">
      <c r="A43" t="inlineStr">
        <is>
          <t>IMM</t>
        </is>
      </c>
      <c r="B43" t="inlineStr">
        <is>
          <t>O</t>
        </is>
      </c>
      <c r="C43" t="inlineStr">
        <is>
          <t>Staňková Anna</t>
        </is>
      </c>
      <c r="E43" t="inlineStr">
        <is>
          <t>14:00 - 22:00</t>
        </is>
      </c>
      <c r="F43" t="inlineStr">
        <is>
          <t>CW_43_IMM.xlsx</t>
        </is>
      </c>
      <c r="G43" t="inlineStr">
        <is>
          <t>CW43</t>
        </is>
      </c>
      <c r="H43" t="n">
        <v>17</v>
      </c>
    </row>
    <row r="44">
      <c r="A44" t="inlineStr">
        <is>
          <t>IMM</t>
        </is>
      </c>
      <c r="B44" t="inlineStr">
        <is>
          <t>N</t>
        </is>
      </c>
      <c r="C44" t="inlineStr">
        <is>
          <t>Plashchevska Bohdana</t>
        </is>
      </c>
      <c r="E44" t="inlineStr">
        <is>
          <t>22:00-06:00</t>
        </is>
      </c>
      <c r="F44" t="inlineStr">
        <is>
          <t>CW_43_IMM.xlsx</t>
        </is>
      </c>
      <c r="G44" t="inlineStr">
        <is>
          <t>CW43</t>
        </is>
      </c>
      <c r="H44" t="n">
        <v>17</v>
      </c>
    </row>
    <row r="45">
      <c r="A45" t="inlineStr">
        <is>
          <t>IMM</t>
        </is>
      </c>
      <c r="B45" t="inlineStr">
        <is>
          <t>R</t>
        </is>
      </c>
      <c r="C45" t="inlineStr">
        <is>
          <t>Rác Jozef</t>
        </is>
      </c>
      <c r="E45" t="inlineStr">
        <is>
          <t>06:00 - 14:00</t>
        </is>
      </c>
      <c r="F45" t="inlineStr">
        <is>
          <t>CW_43_IMM.xlsx</t>
        </is>
      </c>
      <c r="G45" t="inlineStr">
        <is>
          <t>CW43</t>
        </is>
      </c>
      <c r="H45" t="n">
        <v>18</v>
      </c>
    </row>
    <row r="46">
      <c r="A46" t="inlineStr">
        <is>
          <t>IMM</t>
        </is>
      </c>
      <c r="B46" t="inlineStr">
        <is>
          <t>O</t>
        </is>
      </c>
      <c r="C46" t="inlineStr">
        <is>
          <t>Shevchuk Liudmyla</t>
        </is>
      </c>
      <c r="E46" t="inlineStr">
        <is>
          <t>14:00 - 22:00</t>
        </is>
      </c>
      <c r="F46" t="inlineStr">
        <is>
          <t>CW_43_IMM.xlsx</t>
        </is>
      </c>
      <c r="G46" t="inlineStr">
        <is>
          <t>CW43</t>
        </is>
      </c>
      <c r="H46" t="n">
        <v>18</v>
      </c>
    </row>
    <row r="47">
      <c r="A47" t="inlineStr">
        <is>
          <t>IMM</t>
        </is>
      </c>
      <c r="B47" t="inlineStr">
        <is>
          <t>N</t>
        </is>
      </c>
      <c r="C47" t="inlineStr">
        <is>
          <t>Kovalenko Mykhailo</t>
        </is>
      </c>
      <c r="E47" t="inlineStr">
        <is>
          <t>18:00-06:00</t>
        </is>
      </c>
      <c r="F47" t="inlineStr">
        <is>
          <t>CW_43_IMM.xlsx</t>
        </is>
      </c>
      <c r="G47" t="inlineStr">
        <is>
          <t>CW43</t>
        </is>
      </c>
      <c r="H47" t="n">
        <v>18</v>
      </c>
    </row>
    <row r="48">
      <c r="A48" t="inlineStr">
        <is>
          <t>IMM</t>
        </is>
      </c>
      <c r="B48" t="inlineStr">
        <is>
          <t>R</t>
        </is>
      </c>
      <c r="C48" t="inlineStr">
        <is>
          <t>Kravtsova Maryna</t>
        </is>
      </c>
      <c r="E48" t="inlineStr">
        <is>
          <t>06:00 - 18:00</t>
        </is>
      </c>
      <c r="F48" t="inlineStr">
        <is>
          <t>CW_43_IMM.xlsx</t>
        </is>
      </c>
      <c r="G48" t="inlineStr">
        <is>
          <t>CW43</t>
        </is>
      </c>
      <c r="H48" t="n">
        <v>19</v>
      </c>
    </row>
    <row r="49">
      <c r="A49" t="inlineStr">
        <is>
          <t>IMM</t>
        </is>
      </c>
      <c r="B49" t="inlineStr">
        <is>
          <t>O</t>
        </is>
      </c>
      <c r="C49" t="inlineStr">
        <is>
          <t>Linnikov Oleksandr</t>
        </is>
      </c>
      <c r="E49" t="inlineStr">
        <is>
          <t>14:00 - 22:00</t>
        </is>
      </c>
      <c r="F49" t="inlineStr">
        <is>
          <t>CW_43_IMM.xlsx</t>
        </is>
      </c>
      <c r="G49" t="inlineStr">
        <is>
          <t>CW43</t>
        </is>
      </c>
      <c r="H49" t="n">
        <v>19</v>
      </c>
    </row>
    <row r="50">
      <c r="A50" t="inlineStr">
        <is>
          <t>IMM</t>
        </is>
      </c>
      <c r="B50" t="inlineStr">
        <is>
          <t>N</t>
        </is>
      </c>
      <c r="C50" t="inlineStr">
        <is>
          <t>Fekete Kornélie</t>
        </is>
      </c>
      <c r="E50" t="inlineStr">
        <is>
          <t>22:00-06:00</t>
        </is>
      </c>
      <c r="F50" t="inlineStr">
        <is>
          <t>CW_43_IMM.xlsx</t>
        </is>
      </c>
      <c r="G50" t="inlineStr">
        <is>
          <t>CW43</t>
        </is>
      </c>
      <c r="H50" t="n">
        <v>19</v>
      </c>
    </row>
    <row r="51">
      <c r="A51" t="inlineStr">
        <is>
          <t>IMM</t>
        </is>
      </c>
      <c r="B51" t="inlineStr">
        <is>
          <t>R</t>
        </is>
      </c>
      <c r="C51" t="inlineStr">
        <is>
          <t>Záhenskí Eva</t>
        </is>
      </c>
      <c r="E51" t="inlineStr">
        <is>
          <t>06:00 - 18:00</t>
        </is>
      </c>
      <c r="F51" t="inlineStr">
        <is>
          <t>CW_43_IMM.xlsx</t>
        </is>
      </c>
      <c r="G51" t="inlineStr">
        <is>
          <t>CW43</t>
        </is>
      </c>
      <c r="H51" t="n">
        <v>20</v>
      </c>
    </row>
    <row r="52">
      <c r="A52" t="inlineStr">
        <is>
          <t>IMM</t>
        </is>
      </c>
      <c r="B52" t="inlineStr">
        <is>
          <t>O</t>
        </is>
      </c>
      <c r="C52" t="inlineStr">
        <is>
          <t>Nemodruk Viktoriia</t>
        </is>
      </c>
      <c r="E52" t="inlineStr">
        <is>
          <t>14:00 - 22:00</t>
        </is>
      </c>
      <c r="F52" t="inlineStr">
        <is>
          <t>CW_43_IMM.xlsx</t>
        </is>
      </c>
      <c r="G52" t="inlineStr">
        <is>
          <t>CW43</t>
        </is>
      </c>
      <c r="H52" t="n">
        <v>20</v>
      </c>
    </row>
    <row r="53">
      <c r="A53" t="inlineStr">
        <is>
          <t>IMM</t>
        </is>
      </c>
      <c r="B53" t="inlineStr">
        <is>
          <t>N</t>
        </is>
      </c>
      <c r="C53" t="inlineStr">
        <is>
          <t>Szirmai  Vivien</t>
        </is>
      </c>
      <c r="E53" t="inlineStr">
        <is>
          <t>22:00-06:00</t>
        </is>
      </c>
      <c r="F53" t="inlineStr">
        <is>
          <t>CW_43_IMM.xlsx</t>
        </is>
      </c>
      <c r="G53" t="inlineStr">
        <is>
          <t>CW43</t>
        </is>
      </c>
      <c r="H53" t="n">
        <v>20</v>
      </c>
    </row>
    <row r="54">
      <c r="A54" t="inlineStr">
        <is>
          <t>IMM</t>
        </is>
      </c>
      <c r="B54" t="inlineStr">
        <is>
          <t>R</t>
        </is>
      </c>
      <c r="C54" t="inlineStr">
        <is>
          <t>Byche Olha</t>
        </is>
      </c>
      <c r="E54" t="inlineStr">
        <is>
          <t>06:00 - 14:00</t>
        </is>
      </c>
      <c r="F54" t="inlineStr">
        <is>
          <t>CW_43_IMM.xlsx</t>
        </is>
      </c>
      <c r="G54" t="inlineStr">
        <is>
          <t>CW43</t>
        </is>
      </c>
      <c r="H54" t="n">
        <v>21</v>
      </c>
    </row>
    <row r="55">
      <c r="A55" t="inlineStr">
        <is>
          <t>IMM</t>
        </is>
      </c>
      <c r="B55" t="inlineStr">
        <is>
          <t>O</t>
        </is>
      </c>
      <c r="C55" t="inlineStr">
        <is>
          <t>Paskar Andrii</t>
        </is>
      </c>
      <c r="E55" t="inlineStr">
        <is>
          <t>14:00 - 22:00</t>
        </is>
      </c>
      <c r="F55" t="inlineStr">
        <is>
          <t>CW_43_IMM.xlsx</t>
        </is>
      </c>
      <c r="G55" t="inlineStr">
        <is>
          <t>CW43</t>
        </is>
      </c>
      <c r="H55" t="n">
        <v>21</v>
      </c>
    </row>
    <row r="56">
      <c r="A56" t="inlineStr">
        <is>
          <t>IMM</t>
        </is>
      </c>
      <c r="B56" t="inlineStr">
        <is>
          <t>N</t>
        </is>
      </c>
      <c r="C56" t="inlineStr">
        <is>
          <t>Adám Jolana</t>
        </is>
      </c>
      <c r="E56" t="inlineStr">
        <is>
          <t>18:00-06:00</t>
        </is>
      </c>
      <c r="F56" t="inlineStr">
        <is>
          <t>CW_43_IMM.xlsx</t>
        </is>
      </c>
      <c r="G56" t="inlineStr">
        <is>
          <t>CW43</t>
        </is>
      </c>
      <c r="H56" t="n">
        <v>21</v>
      </c>
    </row>
    <row r="57">
      <c r="A57" t="inlineStr">
        <is>
          <t>IMM</t>
        </is>
      </c>
      <c r="B57" t="inlineStr">
        <is>
          <t>R</t>
        </is>
      </c>
      <c r="C57" t="inlineStr">
        <is>
          <t>Vezsicsányiny Margaréta</t>
        </is>
      </c>
      <c r="E57" t="inlineStr">
        <is>
          <t>06:00 - 18:00</t>
        </is>
      </c>
      <c r="F57" t="inlineStr">
        <is>
          <t>CW_43_IMM.xlsx</t>
        </is>
      </c>
      <c r="G57" t="inlineStr">
        <is>
          <t>CW43</t>
        </is>
      </c>
      <c r="H57" t="n">
        <v>22</v>
      </c>
    </row>
    <row r="58">
      <c r="A58" t="inlineStr">
        <is>
          <t>IMM</t>
        </is>
      </c>
      <c r="B58" t="inlineStr">
        <is>
          <t>O</t>
        </is>
      </c>
      <c r="C58" t="inlineStr">
        <is>
          <t>Aniskina Svitlana</t>
        </is>
      </c>
      <c r="E58" t="inlineStr">
        <is>
          <t>14:00 - 22:00</t>
        </is>
      </c>
      <c r="F58" t="inlineStr">
        <is>
          <t>CW_43_IMM.xlsx</t>
        </is>
      </c>
      <c r="G58" t="inlineStr">
        <is>
          <t>CW43</t>
        </is>
      </c>
      <c r="H58" t="n">
        <v>22</v>
      </c>
    </row>
    <row r="59">
      <c r="A59" t="inlineStr">
        <is>
          <t>IMM</t>
        </is>
      </c>
      <c r="B59" t="inlineStr">
        <is>
          <t>N</t>
        </is>
      </c>
      <c r="C59" t="inlineStr">
        <is>
          <t>Batka Atilla</t>
        </is>
      </c>
      <c r="E59" t="inlineStr">
        <is>
          <t>18:00-06:00</t>
        </is>
      </c>
      <c r="F59" t="inlineStr">
        <is>
          <t>CW_43_IMM.xlsx</t>
        </is>
      </c>
      <c r="G59" t="inlineStr">
        <is>
          <t>CW43</t>
        </is>
      </c>
      <c r="H59" t="n">
        <v>22</v>
      </c>
    </row>
    <row r="60">
      <c r="A60" t="inlineStr">
        <is>
          <t>IMM</t>
        </is>
      </c>
      <c r="B60" t="inlineStr">
        <is>
          <t>R</t>
        </is>
      </c>
      <c r="C60" t="inlineStr">
        <is>
          <t>Vezsicsányiny Szerhej</t>
        </is>
      </c>
      <c r="E60" t="inlineStr">
        <is>
          <t>06:00 - 18:00</t>
        </is>
      </c>
      <c r="F60" t="inlineStr">
        <is>
          <t>CW_43_IMM.xlsx</t>
        </is>
      </c>
      <c r="G60" t="inlineStr">
        <is>
          <t>CW43</t>
        </is>
      </c>
      <c r="H60" t="n">
        <v>23</v>
      </c>
    </row>
    <row r="61">
      <c r="A61" t="inlineStr">
        <is>
          <t>IMM</t>
        </is>
      </c>
      <c r="B61" t="inlineStr">
        <is>
          <t>N</t>
        </is>
      </c>
      <c r="C61" t="inlineStr">
        <is>
          <t>Maté Szilárd</t>
        </is>
      </c>
      <c r="E61" t="inlineStr">
        <is>
          <t>18:00-06:00</t>
        </is>
      </c>
      <c r="F61" t="inlineStr">
        <is>
          <t>CW_43_IMM.xlsx</t>
        </is>
      </c>
      <c r="G61" t="inlineStr">
        <is>
          <t>CW43</t>
        </is>
      </c>
      <c r="H61" t="n">
        <v>23</v>
      </c>
    </row>
    <row r="62">
      <c r="A62" t="inlineStr">
        <is>
          <t>IMM</t>
        </is>
      </c>
      <c r="B62" t="inlineStr">
        <is>
          <t>R</t>
        </is>
      </c>
      <c r="C62" t="inlineStr">
        <is>
          <t>Rodko Halyna</t>
        </is>
      </c>
      <c r="E62" t="inlineStr">
        <is>
          <t>06:00 - 14:00</t>
        </is>
      </c>
      <c r="F62" t="inlineStr">
        <is>
          <t>CW_43_IMM.xlsx</t>
        </is>
      </c>
      <c r="G62" t="inlineStr">
        <is>
          <t>CW43</t>
        </is>
      </c>
      <c r="H62" t="n">
        <v>24</v>
      </c>
    </row>
    <row r="63">
      <c r="A63" t="inlineStr">
        <is>
          <t>IMM</t>
        </is>
      </c>
      <c r="B63" t="inlineStr">
        <is>
          <t>N</t>
        </is>
      </c>
      <c r="C63" t="inlineStr">
        <is>
          <t>Hutei Denis</t>
        </is>
      </c>
      <c r="E63" t="inlineStr">
        <is>
          <t>18:00-06:00</t>
        </is>
      </c>
      <c r="F63" t="inlineStr">
        <is>
          <t>CW_43_IMM.xlsx</t>
        </is>
      </c>
      <c r="G63" t="inlineStr">
        <is>
          <t>CW43</t>
        </is>
      </c>
      <c r="H63" t="n">
        <v>24</v>
      </c>
    </row>
    <row r="64">
      <c r="A64" t="inlineStr">
        <is>
          <t>IMM</t>
        </is>
      </c>
      <c r="B64" t="inlineStr">
        <is>
          <t>R</t>
        </is>
      </c>
      <c r="C64" t="inlineStr">
        <is>
          <t>Baranyi Gizela</t>
        </is>
      </c>
      <c r="E64" t="inlineStr">
        <is>
          <t>06:00 - 14:00</t>
        </is>
      </c>
      <c r="F64" t="inlineStr">
        <is>
          <t>CW_43_IMM.xlsx</t>
        </is>
      </c>
      <c r="G64" t="inlineStr">
        <is>
          <t>CW43</t>
        </is>
      </c>
      <c r="H64" t="n">
        <v>25</v>
      </c>
    </row>
    <row r="65">
      <c r="A65" t="inlineStr">
        <is>
          <t>IMM</t>
        </is>
      </c>
      <c r="B65" t="inlineStr">
        <is>
          <t>N</t>
        </is>
      </c>
      <c r="C65" t="inlineStr">
        <is>
          <t>Vainahii Mariia</t>
        </is>
      </c>
      <c r="E65" t="inlineStr">
        <is>
          <t>22:00-06:00</t>
        </is>
      </c>
      <c r="F65" t="inlineStr">
        <is>
          <t>CW_43_IMM.xlsx</t>
        </is>
      </c>
      <c r="G65" t="inlineStr">
        <is>
          <t>CW43</t>
        </is>
      </c>
      <c r="H65" t="n">
        <v>25</v>
      </c>
    </row>
    <row r="66">
      <c r="A66" t="inlineStr">
        <is>
          <t>IMM</t>
        </is>
      </c>
      <c r="B66" t="inlineStr">
        <is>
          <t>R</t>
        </is>
      </c>
      <c r="C66" t="inlineStr">
        <is>
          <t>Vainahii Maksym</t>
        </is>
      </c>
      <c r="E66" t="inlineStr">
        <is>
          <t>06:00 - 18:00</t>
        </is>
      </c>
      <c r="F66" t="inlineStr">
        <is>
          <t>CW_43_IMM.xlsx</t>
        </is>
      </c>
      <c r="G66" t="inlineStr">
        <is>
          <t>CW43</t>
        </is>
      </c>
      <c r="H66" t="n">
        <v>26</v>
      </c>
    </row>
    <row r="67">
      <c r="A67" t="inlineStr">
        <is>
          <t>IMM</t>
        </is>
      </c>
      <c r="B67" t="inlineStr">
        <is>
          <t>N</t>
        </is>
      </c>
      <c r="C67" t="inlineStr">
        <is>
          <t>Sokol Inna</t>
        </is>
      </c>
      <c r="E67" t="inlineStr">
        <is>
          <t>22:00-06:00</t>
        </is>
      </c>
      <c r="F67" t="inlineStr">
        <is>
          <t>CW_43_IMM.xlsx</t>
        </is>
      </c>
      <c r="G67" t="inlineStr">
        <is>
          <t>CW43</t>
        </is>
      </c>
      <c r="H67" t="n">
        <v>26</v>
      </c>
    </row>
    <row r="68">
      <c r="A68" t="inlineStr">
        <is>
          <t>IMM</t>
        </is>
      </c>
      <c r="B68" t="inlineStr">
        <is>
          <t>R</t>
        </is>
      </c>
      <c r="C68" t="inlineStr">
        <is>
          <t>Voikin Volodymyr</t>
        </is>
      </c>
      <c r="E68" t="inlineStr">
        <is>
          <t>06:00 - 18:00</t>
        </is>
      </c>
      <c r="F68" t="inlineStr">
        <is>
          <t>CW_43_IMM.xlsx</t>
        </is>
      </c>
      <c r="G68" t="inlineStr">
        <is>
          <t>CW43</t>
        </is>
      </c>
      <c r="H68" t="n">
        <v>27</v>
      </c>
    </row>
    <row r="69">
      <c r="A69" t="inlineStr">
        <is>
          <t>IMM</t>
        </is>
      </c>
      <c r="B69" t="inlineStr">
        <is>
          <t>N</t>
        </is>
      </c>
      <c r="C69" t="inlineStr">
        <is>
          <t>Lashko Tetiana</t>
        </is>
      </c>
      <c r="E69" t="inlineStr">
        <is>
          <t>18:00-06:00</t>
        </is>
      </c>
      <c r="F69" t="inlineStr">
        <is>
          <t>CW_43_IMM.xlsx</t>
        </is>
      </c>
      <c r="G69" t="inlineStr">
        <is>
          <t>CW43</t>
        </is>
      </c>
      <c r="H69" t="n">
        <v>27</v>
      </c>
    </row>
    <row r="70">
      <c r="A70" t="inlineStr">
        <is>
          <t>SK336/W206</t>
        </is>
      </c>
      <c r="B70" t="inlineStr">
        <is>
          <t>R</t>
        </is>
      </c>
      <c r="C70" t="inlineStr">
        <is>
          <t>Povroznik Stefan</t>
        </is>
      </c>
      <c r="D70" t="inlineStr">
        <is>
          <t>Punching</t>
        </is>
      </c>
      <c r="E70" t="inlineStr">
        <is>
          <t>6:00 - 18:00</t>
        </is>
      </c>
      <c r="F70" t="inlineStr">
        <is>
          <t>CW_43_SK336.xlsx</t>
        </is>
      </c>
      <c r="G70" t="inlineStr">
        <is>
          <t>CW43</t>
        </is>
      </c>
      <c r="H70" t="n">
        <v>15</v>
      </c>
    </row>
    <row r="71">
      <c r="A71" t="inlineStr">
        <is>
          <t>SK336/W206</t>
        </is>
      </c>
      <c r="B71" t="inlineStr">
        <is>
          <t>N</t>
        </is>
      </c>
      <c r="C71" t="inlineStr">
        <is>
          <t>Ciomag Gheorghe</t>
        </is>
      </c>
      <c r="D71" t="inlineStr">
        <is>
          <t>Punching</t>
        </is>
      </c>
      <c r="E71" t="inlineStr">
        <is>
          <t>18:00 - 06:00</t>
        </is>
      </c>
      <c r="F71" t="inlineStr">
        <is>
          <t>CW_43_SK336.xlsx</t>
        </is>
      </c>
      <c r="G71" t="inlineStr">
        <is>
          <t>CW43</t>
        </is>
      </c>
      <c r="H71" t="n">
        <v>15</v>
      </c>
    </row>
    <row r="72">
      <c r="A72" t="inlineStr">
        <is>
          <t>SK336/W206</t>
        </is>
      </c>
      <c r="B72" t="inlineStr">
        <is>
          <t>R</t>
        </is>
      </c>
      <c r="C72" t="inlineStr">
        <is>
          <t>Krysa Maria</t>
        </is>
      </c>
      <c r="D72" t="inlineStr">
        <is>
          <t>Punching</t>
        </is>
      </c>
      <c r="E72" t="inlineStr">
        <is>
          <t>6:00 - 18:00</t>
        </is>
      </c>
      <c r="F72" t="inlineStr">
        <is>
          <t>CW_43_SK336.xlsx</t>
        </is>
      </c>
      <c r="G72" t="inlineStr">
        <is>
          <t>CW43</t>
        </is>
      </c>
      <c r="H72" t="n">
        <v>16</v>
      </c>
    </row>
    <row r="73">
      <c r="A73" t="inlineStr">
        <is>
          <t>SK336/W206</t>
        </is>
      </c>
      <c r="B73" t="inlineStr">
        <is>
          <t>N</t>
        </is>
      </c>
      <c r="C73" t="inlineStr">
        <is>
          <t>Cretu Ana</t>
        </is>
      </c>
      <c r="D73" t="inlineStr">
        <is>
          <t>Punching</t>
        </is>
      </c>
      <c r="E73" t="inlineStr">
        <is>
          <t>18:00 - 06:00</t>
        </is>
      </c>
      <c r="F73" t="inlineStr">
        <is>
          <t>CW_43_SK336.xlsx</t>
        </is>
      </c>
      <c r="G73" t="inlineStr">
        <is>
          <t>CW43</t>
        </is>
      </c>
      <c r="H73" t="n">
        <v>16</v>
      </c>
    </row>
    <row r="74">
      <c r="A74" t="inlineStr">
        <is>
          <t>SK336/W206</t>
        </is>
      </c>
      <c r="B74" t="inlineStr">
        <is>
          <t>R</t>
        </is>
      </c>
      <c r="C74" t="inlineStr">
        <is>
          <t>Dzyzhak Anastasiia</t>
        </is>
      </c>
      <c r="D74" t="inlineStr">
        <is>
          <t>Milling</t>
        </is>
      </c>
      <c r="E74" t="inlineStr">
        <is>
          <t>6:00 - 18:00</t>
        </is>
      </c>
      <c r="F74" t="inlineStr">
        <is>
          <t>CW_43_SK336.xlsx</t>
        </is>
      </c>
      <c r="G74" t="inlineStr">
        <is>
          <t>CW43</t>
        </is>
      </c>
      <c r="H74" t="n">
        <v>17</v>
      </c>
    </row>
    <row r="75">
      <c r="A75" t="inlineStr">
        <is>
          <t>SK336/W206</t>
        </is>
      </c>
      <c r="B75" t="inlineStr">
        <is>
          <t>N</t>
        </is>
      </c>
      <c r="C75" t="inlineStr">
        <is>
          <t>Krotova Katya</t>
        </is>
      </c>
      <c r="D75" t="inlineStr">
        <is>
          <t>Milling</t>
        </is>
      </c>
      <c r="E75" t="inlineStr">
        <is>
          <t>18:00 - 06:00</t>
        </is>
      </c>
      <c r="F75" t="inlineStr">
        <is>
          <t>CW_43_SK336.xlsx</t>
        </is>
      </c>
      <c r="G75" t="inlineStr">
        <is>
          <t>CW43</t>
        </is>
      </c>
      <c r="H75" t="n">
        <v>17</v>
      </c>
    </row>
    <row r="76">
      <c r="A76" t="inlineStr">
        <is>
          <t>SK336/W206</t>
        </is>
      </c>
      <c r="B76" t="inlineStr">
        <is>
          <t>R</t>
        </is>
      </c>
      <c r="C76" t="inlineStr">
        <is>
          <t>Bihun Natalia</t>
        </is>
      </c>
      <c r="D76" t="inlineStr">
        <is>
          <t>Wib</t>
        </is>
      </c>
      <c r="E76" t="inlineStr">
        <is>
          <t>6:00 - 14:00</t>
        </is>
      </c>
      <c r="F76" t="inlineStr">
        <is>
          <t>CW_43_SK336.xlsx</t>
        </is>
      </c>
      <c r="G76" t="inlineStr">
        <is>
          <t>CW43</t>
        </is>
      </c>
      <c r="H76" t="n">
        <v>18</v>
      </c>
    </row>
    <row r="77">
      <c r="A77" t="inlineStr">
        <is>
          <t>SK336/W206</t>
        </is>
      </c>
      <c r="B77" t="inlineStr">
        <is>
          <t>N</t>
        </is>
      </c>
      <c r="C77" t="inlineStr">
        <is>
          <t>Skorina Svetlana</t>
        </is>
      </c>
      <c r="D77" t="inlineStr">
        <is>
          <t>Wib</t>
        </is>
      </c>
      <c r="E77" t="inlineStr">
        <is>
          <t>18:00 - 06:00</t>
        </is>
      </c>
      <c r="F77" t="inlineStr">
        <is>
          <t>CW_43_SK336.xlsx</t>
        </is>
      </c>
      <c r="G77" t="inlineStr">
        <is>
          <t>CW43</t>
        </is>
      </c>
      <c r="H77" t="n">
        <v>18</v>
      </c>
    </row>
    <row r="78">
      <c r="A78" t="inlineStr">
        <is>
          <t>SK336/W206</t>
        </is>
      </c>
      <c r="B78" t="inlineStr">
        <is>
          <t>R</t>
        </is>
      </c>
      <c r="C78" t="inlineStr">
        <is>
          <t>Hudáček Ján</t>
        </is>
      </c>
      <c r="D78" t="inlineStr">
        <is>
          <t>Us. Wel</t>
        </is>
      </c>
      <c r="E78" t="inlineStr">
        <is>
          <t>6:00 - 14:00</t>
        </is>
      </c>
      <c r="F78" t="inlineStr">
        <is>
          <t>CW_43_SK336.xlsx</t>
        </is>
      </c>
      <c r="G78" t="inlineStr">
        <is>
          <t>CW43</t>
        </is>
      </c>
      <c r="H78" t="n">
        <v>19</v>
      </c>
    </row>
    <row r="79">
      <c r="A79" t="inlineStr">
        <is>
          <t>SK336/W206</t>
        </is>
      </c>
      <c r="B79" t="inlineStr">
        <is>
          <t>O</t>
        </is>
      </c>
      <c r="C79" t="inlineStr">
        <is>
          <t>Shabrova Nelia</t>
        </is>
      </c>
      <c r="D79" t="inlineStr">
        <is>
          <t>Us.Wel</t>
        </is>
      </c>
      <c r="E79" t="inlineStr">
        <is>
          <t>14:00 - 22:00</t>
        </is>
      </c>
      <c r="F79" t="inlineStr">
        <is>
          <t>CW_43_SK336.xlsx</t>
        </is>
      </c>
      <c r="G79" t="inlineStr">
        <is>
          <t>CW43</t>
        </is>
      </c>
      <c r="H79" t="n">
        <v>19</v>
      </c>
    </row>
    <row r="80">
      <c r="A80" t="inlineStr">
        <is>
          <t>SK336/W206</t>
        </is>
      </c>
      <c r="B80" t="inlineStr">
        <is>
          <t>N</t>
        </is>
      </c>
      <c r="C80" t="inlineStr">
        <is>
          <t>Popescu Viktoriia</t>
        </is>
      </c>
      <c r="D80" t="inlineStr">
        <is>
          <t>Us.Wel</t>
        </is>
      </c>
      <c r="E80" t="inlineStr">
        <is>
          <t>22:00 - 06:00</t>
        </is>
      </c>
      <c r="F80" t="inlineStr">
        <is>
          <t>CW_43_SK336.xlsx</t>
        </is>
      </c>
      <c r="G80" t="inlineStr">
        <is>
          <t>CW43</t>
        </is>
      </c>
      <c r="H80" t="n">
        <v>19</v>
      </c>
    </row>
    <row r="81">
      <c r="A81" t="inlineStr">
        <is>
          <t>SK336/W206</t>
        </is>
      </c>
      <c r="B81" t="inlineStr">
        <is>
          <t>R</t>
        </is>
      </c>
      <c r="C81" t="inlineStr">
        <is>
          <t>Slashchov Viacheslav</t>
        </is>
      </c>
      <c r="D81" t="inlineStr">
        <is>
          <t>Cliping</t>
        </is>
      </c>
      <c r="E81" t="inlineStr">
        <is>
          <t>6:00 - 18:00</t>
        </is>
      </c>
      <c r="F81" t="inlineStr">
        <is>
          <t>CW_43_SK336.xlsx</t>
        </is>
      </c>
      <c r="G81" t="inlineStr">
        <is>
          <t>CW43</t>
        </is>
      </c>
      <c r="H81" t="n">
        <v>20</v>
      </c>
    </row>
    <row r="82">
      <c r="A82" t="inlineStr">
        <is>
          <t>SK336/W206</t>
        </is>
      </c>
      <c r="B82" t="inlineStr">
        <is>
          <t>N</t>
        </is>
      </c>
      <c r="C82" t="inlineStr">
        <is>
          <t>Nykiel Jakub</t>
        </is>
      </c>
      <c r="D82" t="inlineStr">
        <is>
          <t>Cliping</t>
        </is>
      </c>
      <c r="E82" t="inlineStr">
        <is>
          <t>18:00 - 06:00</t>
        </is>
      </c>
      <c r="F82" t="inlineStr">
        <is>
          <t>CW_43_SK336.xlsx</t>
        </is>
      </c>
      <c r="G82" t="inlineStr">
        <is>
          <t>CW43</t>
        </is>
      </c>
      <c r="H82" t="n">
        <v>20</v>
      </c>
    </row>
    <row r="83">
      <c r="A83" t="inlineStr">
        <is>
          <t>SK336/W206</t>
        </is>
      </c>
      <c r="B83" t="inlineStr">
        <is>
          <t>R</t>
        </is>
      </c>
      <c r="C83" t="inlineStr">
        <is>
          <t>Krasylnikova Tetiana</t>
        </is>
      </c>
      <c r="D83" t="inlineStr">
        <is>
          <t>Montáž</t>
        </is>
      </c>
      <c r="E83" t="inlineStr">
        <is>
          <t>6:00 - 18:00</t>
        </is>
      </c>
      <c r="F83" t="inlineStr">
        <is>
          <t>CW_43_SK336.xlsx</t>
        </is>
      </c>
      <c r="G83" t="inlineStr">
        <is>
          <t>CW43</t>
        </is>
      </c>
      <c r="H83" t="n">
        <v>21</v>
      </c>
    </row>
    <row r="84">
      <c r="A84" t="inlineStr">
        <is>
          <t>SK336/W206</t>
        </is>
      </c>
      <c r="B84" t="inlineStr">
        <is>
          <t>N</t>
        </is>
      </c>
      <c r="C84" t="inlineStr">
        <is>
          <t>Deca Mirela</t>
        </is>
      </c>
      <c r="D84" t="inlineStr">
        <is>
          <t>Montáž</t>
        </is>
      </c>
      <c r="E84" t="inlineStr">
        <is>
          <t>18:00 - 06:00</t>
        </is>
      </c>
      <c r="F84" t="inlineStr">
        <is>
          <t>CW_43_SK336.xlsx</t>
        </is>
      </c>
      <c r="G84" t="inlineStr">
        <is>
          <t>CW43</t>
        </is>
      </c>
      <c r="H84" t="n">
        <v>21</v>
      </c>
    </row>
    <row r="85">
      <c r="A85" t="inlineStr">
        <is>
          <t>SK336/W206</t>
        </is>
      </c>
      <c r="B85" t="inlineStr">
        <is>
          <t>R</t>
        </is>
      </c>
      <c r="C85" t="inlineStr">
        <is>
          <t>Oleksii Hanna</t>
        </is>
      </c>
      <c r="D85" t="inlineStr">
        <is>
          <t>Montáž</t>
        </is>
      </c>
      <c r="E85" t="inlineStr">
        <is>
          <t>6:00 - 18:00</t>
        </is>
      </c>
      <c r="F85" t="inlineStr">
        <is>
          <t>CW_43_SK336.xlsx</t>
        </is>
      </c>
      <c r="G85" t="inlineStr">
        <is>
          <t>CW43</t>
        </is>
      </c>
      <c r="H85" t="n">
        <v>22</v>
      </c>
    </row>
    <row r="86">
      <c r="A86" t="inlineStr">
        <is>
          <t>SK336/W206</t>
        </is>
      </c>
      <c r="B86" t="inlineStr">
        <is>
          <t>N</t>
        </is>
      </c>
      <c r="C86" t="inlineStr">
        <is>
          <t>Volkova Valeria</t>
        </is>
      </c>
      <c r="D86" t="inlineStr">
        <is>
          <t>Montáž</t>
        </is>
      </c>
      <c r="E86" t="inlineStr">
        <is>
          <t>18:00 - 06:00</t>
        </is>
      </c>
      <c r="F86" t="inlineStr">
        <is>
          <t>CW_43_SK336.xlsx</t>
        </is>
      </c>
      <c r="G86" t="inlineStr">
        <is>
          <t>CW43</t>
        </is>
      </c>
      <c r="H86" t="n">
        <v>22</v>
      </c>
    </row>
    <row r="87">
      <c r="A87" t="inlineStr">
        <is>
          <t>SK336/W206</t>
        </is>
      </c>
      <c r="B87" t="inlineStr">
        <is>
          <t>R</t>
        </is>
      </c>
      <c r="C87" t="inlineStr">
        <is>
          <t>Denisa Vanková</t>
        </is>
      </c>
      <c r="D87" t="inlineStr">
        <is>
          <t>RW+sk336</t>
        </is>
      </c>
      <c r="E87" t="inlineStr">
        <is>
          <t>6:00 - 18:00</t>
        </is>
      </c>
      <c r="F87" t="inlineStr">
        <is>
          <t>CW_43_SK336.xlsx</t>
        </is>
      </c>
      <c r="G87" t="inlineStr">
        <is>
          <t>CW43</t>
        </is>
      </c>
      <c r="H87" t="n">
        <v>23</v>
      </c>
    </row>
    <row r="88">
      <c r="A88" t="inlineStr">
        <is>
          <t>SK336/W206</t>
        </is>
      </c>
      <c r="B88" t="inlineStr">
        <is>
          <t>O</t>
        </is>
      </c>
      <c r="C88" t="inlineStr">
        <is>
          <t>Sofilkanych Elizaveta</t>
        </is>
      </c>
      <c r="D88" t="inlineStr">
        <is>
          <t>Rework</t>
        </is>
      </c>
      <c r="E88" t="inlineStr">
        <is>
          <t>14:00 - 22:00</t>
        </is>
      </c>
      <c r="F88" t="inlineStr">
        <is>
          <t>CW_43_SK336.xlsx</t>
        </is>
      </c>
      <c r="G88" t="inlineStr">
        <is>
          <t>CW43</t>
        </is>
      </c>
      <c r="H88" t="n">
        <v>23</v>
      </c>
    </row>
    <row r="89">
      <c r="A89" t="inlineStr">
        <is>
          <t>SK336/W206</t>
        </is>
      </c>
      <c r="B89" t="inlineStr">
        <is>
          <t>N</t>
        </is>
      </c>
      <c r="C89" t="inlineStr">
        <is>
          <t>Tsiple Maryna</t>
        </is>
      </c>
      <c r="D89" t="inlineStr">
        <is>
          <t>RW+sk336</t>
        </is>
      </c>
      <c r="E89" t="inlineStr">
        <is>
          <t>18:00 - 06:00</t>
        </is>
      </c>
      <c r="F89" t="inlineStr">
        <is>
          <t>CW_43_SK336.xlsx</t>
        </is>
      </c>
      <c r="G89" t="inlineStr">
        <is>
          <t>CW43</t>
        </is>
      </c>
      <c r="H89" t="n">
        <v>23</v>
      </c>
    </row>
    <row r="90">
      <c r="A90" t="inlineStr">
        <is>
          <t>Slush</t>
        </is>
      </c>
      <c r="B90" t="inlineStr">
        <is>
          <t>R</t>
        </is>
      </c>
      <c r="C90" t="inlineStr">
        <is>
          <t>Vovchok Svitlana</t>
        </is>
      </c>
      <c r="D90" t="inlineStr">
        <is>
          <t>Z</t>
        </is>
      </c>
      <c r="E90" t="inlineStr">
        <is>
          <t>6:00 - 18:00</t>
        </is>
      </c>
      <c r="F90" t="inlineStr">
        <is>
          <t>CW_43_Slush___it_.xlsx</t>
        </is>
      </c>
      <c r="G90" t="inlineStr">
        <is>
          <t>43</t>
        </is>
      </c>
      <c r="H90" t="n">
        <v>17</v>
      </c>
    </row>
    <row r="91">
      <c r="A91" t="inlineStr">
        <is>
          <t>Slush</t>
        </is>
      </c>
      <c r="B91" t="inlineStr">
        <is>
          <t>N</t>
        </is>
      </c>
      <c r="C91" t="inlineStr">
        <is>
          <t>Vojtová Nikolett</t>
        </is>
      </c>
      <c r="D91" t="inlineStr">
        <is>
          <t>Z</t>
        </is>
      </c>
      <c r="E91" t="inlineStr">
        <is>
          <t>18:00 - 6:00</t>
        </is>
      </c>
      <c r="F91" t="inlineStr">
        <is>
          <t>CW_43_Slush___it_.xlsx</t>
        </is>
      </c>
      <c r="G91" t="inlineStr">
        <is>
          <t>43</t>
        </is>
      </c>
      <c r="H91" t="n">
        <v>17</v>
      </c>
    </row>
    <row r="92">
      <c r="A92" t="inlineStr">
        <is>
          <t>Slush</t>
        </is>
      </c>
      <c r="B92" t="inlineStr">
        <is>
          <t>R</t>
        </is>
      </c>
      <c r="C92" t="inlineStr">
        <is>
          <t>Kolářová  Erika</t>
        </is>
      </c>
      <c r="D92" t="inlineStr">
        <is>
          <t>Z</t>
        </is>
      </c>
      <c r="E92" t="inlineStr">
        <is>
          <t>6:00 - 18:00</t>
        </is>
      </c>
      <c r="F92" t="inlineStr">
        <is>
          <t>CW_43_Slush___it_.xlsx</t>
        </is>
      </c>
      <c r="G92" t="inlineStr">
        <is>
          <t>43</t>
        </is>
      </c>
      <c r="H92" t="n">
        <v>18</v>
      </c>
    </row>
    <row r="93">
      <c r="A93" t="inlineStr">
        <is>
          <t>Slush</t>
        </is>
      </c>
      <c r="B93" t="inlineStr">
        <is>
          <t>N</t>
        </is>
      </c>
      <c r="C93" t="inlineStr">
        <is>
          <t>Zaiachkivska Vira</t>
        </is>
      </c>
      <c r="D93" t="inlineStr">
        <is>
          <t>Z</t>
        </is>
      </c>
      <c r="E93" t="inlineStr">
        <is>
          <t>18:00 - 6:00</t>
        </is>
      </c>
      <c r="F93" t="inlineStr">
        <is>
          <t>CW_43_Slush___it_.xlsx</t>
        </is>
      </c>
      <c r="G93" t="inlineStr">
        <is>
          <t>43</t>
        </is>
      </c>
      <c r="H93" t="n">
        <v>18</v>
      </c>
    </row>
    <row r="94">
      <c r="A94" t="inlineStr">
        <is>
          <t>Slush</t>
        </is>
      </c>
      <c r="B94" t="inlineStr">
        <is>
          <t>R</t>
        </is>
      </c>
      <c r="C94" t="inlineStr">
        <is>
          <t>Cimpeanu S. Marian</t>
        </is>
      </c>
      <c r="D94" t="inlineStr">
        <is>
          <t>Z</t>
        </is>
      </c>
      <c r="E94" t="inlineStr">
        <is>
          <t>6:00 - 18:00</t>
        </is>
      </c>
      <c r="F94" t="inlineStr">
        <is>
          <t>CW_43_Slush___it_.xlsx</t>
        </is>
      </c>
      <c r="G94" t="inlineStr">
        <is>
          <t>43</t>
        </is>
      </c>
      <c r="H94" t="n">
        <v>19</v>
      </c>
    </row>
    <row r="95">
      <c r="A95" t="inlineStr">
        <is>
          <t>Slush</t>
        </is>
      </c>
      <c r="B95" t="inlineStr">
        <is>
          <t>N</t>
        </is>
      </c>
      <c r="C95" t="inlineStr">
        <is>
          <t>Stadnichenko Oksana</t>
        </is>
      </c>
      <c r="D95" t="inlineStr">
        <is>
          <t>Z</t>
        </is>
      </c>
      <c r="E95" t="inlineStr">
        <is>
          <t>18:00 - 6:00</t>
        </is>
      </c>
      <c r="F95" t="inlineStr">
        <is>
          <t>CW_43_Slush___it_.xlsx</t>
        </is>
      </c>
      <c r="G95" t="inlineStr">
        <is>
          <t>43</t>
        </is>
      </c>
      <c r="H95" t="n">
        <v>19</v>
      </c>
    </row>
    <row r="96">
      <c r="A96" t="inlineStr">
        <is>
          <t>Slush</t>
        </is>
      </c>
      <c r="B96" t="inlineStr">
        <is>
          <t>R</t>
        </is>
      </c>
      <c r="C96" t="inlineStr">
        <is>
          <t>Vivcharuk Mariana</t>
        </is>
      </c>
      <c r="D96" t="inlineStr">
        <is>
          <t>Z</t>
        </is>
      </c>
      <c r="E96" t="inlineStr">
        <is>
          <t>6:00 - 18:00</t>
        </is>
      </c>
      <c r="F96" t="inlineStr">
        <is>
          <t>CW_43_Slush___it_.xlsx</t>
        </is>
      </c>
      <c r="G96" t="inlineStr">
        <is>
          <t>43</t>
        </is>
      </c>
      <c r="H96" t="n">
        <v>20</v>
      </c>
    </row>
    <row r="97">
      <c r="A97" t="inlineStr">
        <is>
          <t>Slush</t>
        </is>
      </c>
      <c r="B97" t="inlineStr">
        <is>
          <t>N</t>
        </is>
      </c>
      <c r="C97" t="inlineStr">
        <is>
          <t>Shcherbinina Iryna</t>
        </is>
      </c>
      <c r="D97" t="inlineStr">
        <is>
          <t>Z</t>
        </is>
      </c>
      <c r="E97" t="inlineStr">
        <is>
          <t>18:00 - 6:00</t>
        </is>
      </c>
      <c r="F97" t="inlineStr">
        <is>
          <t>CW_43_Slush___it_.xlsx</t>
        </is>
      </c>
      <c r="G97" t="inlineStr">
        <is>
          <t>43</t>
        </is>
      </c>
      <c r="H97" t="n">
        <v>20</v>
      </c>
    </row>
    <row r="98">
      <c r="A98" t="inlineStr">
        <is>
          <t>Slush</t>
        </is>
      </c>
      <c r="B98" t="inlineStr">
        <is>
          <t>R</t>
        </is>
      </c>
      <c r="C98" t="inlineStr">
        <is>
          <t>Radionova Oksana</t>
        </is>
      </c>
      <c r="D98" t="inlineStr">
        <is>
          <t>Z</t>
        </is>
      </c>
      <c r="E98" t="inlineStr">
        <is>
          <t>6:00 - 14:00</t>
        </is>
      </c>
      <c r="F98" t="inlineStr">
        <is>
          <t>CW_43_Slush___it_.xlsx</t>
        </is>
      </c>
      <c r="G98" t="inlineStr">
        <is>
          <t>43</t>
        </is>
      </c>
      <c r="H98" t="n">
        <v>24</v>
      </c>
    </row>
    <row r="99">
      <c r="A99" t="inlineStr">
        <is>
          <t>Slush</t>
        </is>
      </c>
      <c r="B99" t="inlineStr">
        <is>
          <t>O</t>
        </is>
      </c>
      <c r="C99" t="inlineStr">
        <is>
          <t>Batka Julia</t>
        </is>
      </c>
      <c r="D99" t="inlineStr">
        <is>
          <t>Z</t>
        </is>
      </c>
      <c r="E99" t="inlineStr">
        <is>
          <t>14:00 - 22:00</t>
        </is>
      </c>
      <c r="F99" t="inlineStr">
        <is>
          <t>CW_43_Slush___it_.xlsx</t>
        </is>
      </c>
      <c r="G99" t="inlineStr">
        <is>
          <t>43</t>
        </is>
      </c>
      <c r="H99" t="n">
        <v>24</v>
      </c>
    </row>
    <row r="100">
      <c r="A100" t="inlineStr">
        <is>
          <t>Slush</t>
        </is>
      </c>
      <c r="B100" t="inlineStr">
        <is>
          <t>N</t>
        </is>
      </c>
      <c r="C100" t="inlineStr">
        <is>
          <t>Zabairachna Maryna</t>
        </is>
      </c>
      <c r="D100" t="inlineStr">
        <is>
          <t>Z</t>
        </is>
      </c>
      <c r="E100" t="inlineStr">
        <is>
          <t>22:00 - 6:00</t>
        </is>
      </c>
      <c r="F100" t="inlineStr">
        <is>
          <t>CW_43_Slush___it_.xlsx</t>
        </is>
      </c>
      <c r="G100" t="inlineStr">
        <is>
          <t>43</t>
        </is>
      </c>
      <c r="H100" t="n">
        <v>24</v>
      </c>
    </row>
    <row r="101">
      <c r="A101" t="inlineStr">
        <is>
          <t>Slush</t>
        </is>
      </c>
      <c r="B101" t="inlineStr">
        <is>
          <t>R</t>
        </is>
      </c>
      <c r="C101" t="inlineStr">
        <is>
          <t>Mudrakova Tetiana</t>
        </is>
      </c>
      <c r="D101" t="inlineStr">
        <is>
          <t>Z</t>
        </is>
      </c>
      <c r="E101" t="inlineStr">
        <is>
          <t>6:00 - 18:00</t>
        </is>
      </c>
      <c r="F101" t="inlineStr">
        <is>
          <t>CW_43_Slush___it_.xlsx</t>
        </is>
      </c>
      <c r="G101" t="inlineStr">
        <is>
          <t>43</t>
        </is>
      </c>
      <c r="H101" t="n">
        <v>25</v>
      </c>
    </row>
    <row r="102">
      <c r="A102" t="inlineStr">
        <is>
          <t>Slush</t>
        </is>
      </c>
      <c r="B102" t="inlineStr">
        <is>
          <t>N</t>
        </is>
      </c>
      <c r="C102" t="inlineStr">
        <is>
          <t>Katosonova Olena</t>
        </is>
      </c>
      <c r="D102" t="inlineStr">
        <is>
          <t>Z</t>
        </is>
      </c>
      <c r="E102" t="inlineStr">
        <is>
          <t>18:00 - 6:00</t>
        </is>
      </c>
      <c r="F102" t="inlineStr">
        <is>
          <t>CW_43_Slush___it_.xlsx</t>
        </is>
      </c>
      <c r="G102" t="inlineStr">
        <is>
          <t>43</t>
        </is>
      </c>
      <c r="H102" t="n">
        <v>25</v>
      </c>
    </row>
    <row r="103">
      <c r="A103" t="inlineStr">
        <is>
          <t>Slush</t>
        </is>
      </c>
      <c r="B103" t="inlineStr">
        <is>
          <t>R</t>
        </is>
      </c>
      <c r="C103" t="inlineStr">
        <is>
          <t>Halenza Danylo</t>
        </is>
      </c>
      <c r="D103" t="inlineStr">
        <is>
          <t>Z</t>
        </is>
      </c>
      <c r="E103" t="inlineStr">
        <is>
          <t>6:00 - 18:00</t>
        </is>
      </c>
      <c r="F103" t="inlineStr">
        <is>
          <t>CW_43_Slush___it_.xlsx</t>
        </is>
      </c>
      <c r="G103" t="inlineStr">
        <is>
          <t>43</t>
        </is>
      </c>
      <c r="H103" t="n">
        <v>44</v>
      </c>
    </row>
    <row r="104">
      <c r="A104" t="inlineStr">
        <is>
          <t>Slush</t>
        </is>
      </c>
      <c r="B104" t="inlineStr">
        <is>
          <t>N</t>
        </is>
      </c>
      <c r="C104" t="inlineStr">
        <is>
          <t>Medvediuk Ihor</t>
        </is>
      </c>
      <c r="D104" t="inlineStr">
        <is>
          <t>Z</t>
        </is>
      </c>
      <c r="E104" t="inlineStr">
        <is>
          <t>18:00 - 6:00</t>
        </is>
      </c>
      <c r="F104" t="inlineStr">
        <is>
          <t>CW_43_Slush___it_.xlsx</t>
        </is>
      </c>
      <c r="G104" t="inlineStr">
        <is>
          <t>43</t>
        </is>
      </c>
      <c r="H104" t="n">
        <v>44</v>
      </c>
    </row>
    <row r="105">
      <c r="A105" t="inlineStr">
        <is>
          <t>Slush</t>
        </is>
      </c>
      <c r="B105" t="inlineStr">
        <is>
          <t>R</t>
        </is>
      </c>
      <c r="C105" t="inlineStr">
        <is>
          <t>Horvát Zoltán</t>
        </is>
      </c>
      <c r="D105" t="inlineStr">
        <is>
          <t>Z</t>
        </is>
      </c>
      <c r="E105" t="inlineStr">
        <is>
          <t>6:00 - 14:00</t>
        </is>
      </c>
      <c r="F105" t="inlineStr">
        <is>
          <t>CW_43_Slush___it_.xlsx</t>
        </is>
      </c>
      <c r="G105" t="inlineStr">
        <is>
          <t>43</t>
        </is>
      </c>
      <c r="H105" t="n">
        <v>48</v>
      </c>
    </row>
    <row r="106">
      <c r="A106" t="inlineStr">
        <is>
          <t>Slush</t>
        </is>
      </c>
      <c r="B106" t="inlineStr">
        <is>
          <t>O</t>
        </is>
      </c>
      <c r="C106" t="inlineStr">
        <is>
          <t>Barannyk Oleksander</t>
        </is>
      </c>
      <c r="D106" t="inlineStr">
        <is>
          <t>Z</t>
        </is>
      </c>
      <c r="E106" t="inlineStr">
        <is>
          <t>14:00 - 22:00</t>
        </is>
      </c>
      <c r="F106" t="inlineStr">
        <is>
          <t>CW_43_Slush___it_.xlsx</t>
        </is>
      </c>
      <c r="G106" t="inlineStr">
        <is>
          <t>43</t>
        </is>
      </c>
      <c r="H106" t="n">
        <v>48</v>
      </c>
    </row>
    <row r="107">
      <c r="A107" t="inlineStr">
        <is>
          <t>Slush</t>
        </is>
      </c>
      <c r="B107" t="inlineStr">
        <is>
          <t>N</t>
        </is>
      </c>
      <c r="C107" t="inlineStr">
        <is>
          <t>Tirpak István</t>
        </is>
      </c>
      <c r="D107" t="inlineStr">
        <is>
          <t>Z</t>
        </is>
      </c>
      <c r="E107" t="inlineStr">
        <is>
          <t>22:00 - 6:00</t>
        </is>
      </c>
      <c r="F107" t="inlineStr">
        <is>
          <t>CW_43_Slush___it_.xlsx</t>
        </is>
      </c>
      <c r="G107" t="inlineStr">
        <is>
          <t>43</t>
        </is>
      </c>
      <c r="H107" t="n">
        <v>48</v>
      </c>
    </row>
    <row r="108">
      <c r="A108" t="inlineStr">
        <is>
          <t>W177/W247 IP (MFA2)</t>
        </is>
      </c>
      <c r="B108" t="inlineStr">
        <is>
          <t>R</t>
        </is>
      </c>
      <c r="C108" t="inlineStr">
        <is>
          <t>Streliuk Maksym</t>
        </is>
      </c>
      <c r="D108" t="inlineStr">
        <is>
          <t>Punching</t>
        </is>
      </c>
      <c r="E108" t="inlineStr">
        <is>
          <t>06:00 - 18:00</t>
        </is>
      </c>
      <c r="F108" t="inlineStr">
        <is>
          <t>CW_43_MFA2.xlsx</t>
        </is>
      </c>
      <c r="G108" t="inlineStr">
        <is>
          <t>CW39</t>
        </is>
      </c>
      <c r="H108" t="n">
        <v>13</v>
      </c>
    </row>
    <row r="109">
      <c r="A109" t="inlineStr">
        <is>
          <t>W177/W247 IP (MFA2)</t>
        </is>
      </c>
      <c r="B109" t="inlineStr">
        <is>
          <t>N</t>
        </is>
      </c>
      <c r="C109" t="inlineStr">
        <is>
          <t>Hospodarchiuk Mykhailo</t>
        </is>
      </c>
      <c r="D109" t="inlineStr">
        <is>
          <t>Punching</t>
        </is>
      </c>
      <c r="E109" t="inlineStr">
        <is>
          <t>18:00 - 06:00</t>
        </is>
      </c>
      <c r="F109" t="inlineStr">
        <is>
          <t>CW_43_MFA2.xlsx</t>
        </is>
      </c>
      <c r="G109" t="inlineStr">
        <is>
          <t>CW39</t>
        </is>
      </c>
      <c r="H109" t="n">
        <v>13</v>
      </c>
    </row>
    <row r="110">
      <c r="A110" t="inlineStr">
        <is>
          <t>W177/W247 IP (MFA2)</t>
        </is>
      </c>
      <c r="B110" t="inlineStr">
        <is>
          <t>R</t>
        </is>
      </c>
      <c r="C110" t="inlineStr">
        <is>
          <t>Lashko Viktoriia</t>
        </is>
      </c>
      <c r="D110" t="inlineStr">
        <is>
          <t>Milling</t>
        </is>
      </c>
      <c r="E110" t="inlineStr">
        <is>
          <t>06:00 - 18:00</t>
        </is>
      </c>
      <c r="F110" t="inlineStr">
        <is>
          <t>CW_43_MFA2.xlsx</t>
        </is>
      </c>
      <c r="G110" t="inlineStr">
        <is>
          <t>CW39</t>
        </is>
      </c>
      <c r="H110" t="n">
        <v>14</v>
      </c>
    </row>
    <row r="111">
      <c r="A111" t="inlineStr">
        <is>
          <t>W177/W247 IP (MFA2)</t>
        </is>
      </c>
      <c r="B111" t="inlineStr">
        <is>
          <t>N</t>
        </is>
      </c>
      <c r="C111" t="inlineStr">
        <is>
          <t>Stroe Liliana</t>
        </is>
      </c>
      <c r="D111" t="inlineStr">
        <is>
          <t>Milling</t>
        </is>
      </c>
      <c r="E111" t="inlineStr">
        <is>
          <t>18:00 - 06:00</t>
        </is>
      </c>
      <c r="F111" t="inlineStr">
        <is>
          <t>CW_43_MFA2.xlsx</t>
        </is>
      </c>
      <c r="G111" t="inlineStr">
        <is>
          <t>CW39</t>
        </is>
      </c>
      <c r="H111" t="n">
        <v>14</v>
      </c>
    </row>
    <row r="112">
      <c r="A112" t="inlineStr">
        <is>
          <t>W177/W247 IP (MFA2)</t>
        </is>
      </c>
      <c r="B112" t="inlineStr">
        <is>
          <t>R</t>
        </is>
      </c>
      <c r="C112" t="inlineStr">
        <is>
          <t>Serebriskyi Dmytro</t>
        </is>
      </c>
      <c r="D112" t="inlineStr">
        <is>
          <t>Banán</t>
        </is>
      </c>
      <c r="E112" t="inlineStr">
        <is>
          <t>06:00 - 18:00</t>
        </is>
      </c>
      <c r="F112" t="inlineStr">
        <is>
          <t>CW_43_MFA2.xlsx</t>
        </is>
      </c>
      <c r="G112" t="inlineStr">
        <is>
          <t>CW39</t>
        </is>
      </c>
      <c r="H112" t="n">
        <v>15</v>
      </c>
    </row>
    <row r="113">
      <c r="A113" t="inlineStr">
        <is>
          <t>W177/W247 IP (MFA2)</t>
        </is>
      </c>
      <c r="B113" t="inlineStr">
        <is>
          <t>N</t>
        </is>
      </c>
      <c r="C113" t="inlineStr">
        <is>
          <t>Odarchenko Oleksandr</t>
        </is>
      </c>
      <c r="D113" t="inlineStr">
        <is>
          <t>Banán</t>
        </is>
      </c>
      <c r="E113" t="inlineStr">
        <is>
          <t>18:00 - 06:00</t>
        </is>
      </c>
      <c r="F113" t="inlineStr">
        <is>
          <t>CW_43_MFA2.xlsx</t>
        </is>
      </c>
      <c r="G113" t="inlineStr">
        <is>
          <t>CW39</t>
        </is>
      </c>
      <c r="H113" t="n">
        <v>15</v>
      </c>
    </row>
    <row r="114">
      <c r="A114" t="inlineStr">
        <is>
          <t>W177/W247 IP (MFA2)</t>
        </is>
      </c>
      <c r="B114" t="inlineStr">
        <is>
          <t>R</t>
        </is>
      </c>
      <c r="C114" t="inlineStr">
        <is>
          <t>Khrustavka Ivan</t>
        </is>
      </c>
      <c r="D114" t="inlineStr">
        <is>
          <t>IP Lower</t>
        </is>
      </c>
      <c r="E114" t="inlineStr">
        <is>
          <t>06:00 - 18:00</t>
        </is>
      </c>
      <c r="F114" t="inlineStr">
        <is>
          <t>CW_43_MFA2.xlsx</t>
        </is>
      </c>
      <c r="G114" t="inlineStr">
        <is>
          <t>CW39</t>
        </is>
      </c>
      <c r="H114" t="n">
        <v>16</v>
      </c>
    </row>
    <row r="115">
      <c r="A115" t="inlineStr">
        <is>
          <t>W177/W247 IP (MFA2)</t>
        </is>
      </c>
      <c r="B115" t="inlineStr">
        <is>
          <t>N</t>
        </is>
      </c>
      <c r="C115" t="inlineStr">
        <is>
          <t>Shpak Artem</t>
        </is>
      </c>
      <c r="D115" t="inlineStr">
        <is>
          <t>IP Lower</t>
        </is>
      </c>
      <c r="E115" t="inlineStr">
        <is>
          <t>18:00 - 06:00</t>
        </is>
      </c>
      <c r="F115" t="inlineStr">
        <is>
          <t>CW_43_MFA2.xlsx</t>
        </is>
      </c>
      <c r="G115" t="inlineStr">
        <is>
          <t>CW39</t>
        </is>
      </c>
      <c r="H115" t="n">
        <v>16</v>
      </c>
    </row>
    <row r="116">
      <c r="A116" t="inlineStr">
        <is>
          <t>W177/W247 IP (MFA2)</t>
        </is>
      </c>
      <c r="B116" t="inlineStr">
        <is>
          <t>R</t>
        </is>
      </c>
      <c r="C116" t="inlineStr">
        <is>
          <t>Kuznietsova Nataliia</t>
        </is>
      </c>
      <c r="D116" t="inlineStr">
        <is>
          <t>VIB</t>
        </is>
      </c>
      <c r="E116" t="inlineStr">
        <is>
          <t>06:00 - 18:00</t>
        </is>
      </c>
      <c r="F116" t="inlineStr">
        <is>
          <t>CW_43_MFA2.xlsx</t>
        </is>
      </c>
      <c r="G116" t="inlineStr">
        <is>
          <t>CW39</t>
        </is>
      </c>
      <c r="H116" t="n">
        <v>17</v>
      </c>
    </row>
    <row r="117">
      <c r="A117" t="inlineStr">
        <is>
          <t>W177/W247 IP (MFA2)</t>
        </is>
      </c>
      <c r="B117" t="inlineStr">
        <is>
          <t>N</t>
        </is>
      </c>
      <c r="C117" t="inlineStr">
        <is>
          <t>Sopel Ruslana</t>
        </is>
      </c>
      <c r="D117" t="inlineStr">
        <is>
          <t>VIB</t>
        </is>
      </c>
      <c r="E117" t="inlineStr">
        <is>
          <t>18:00 - 06:00</t>
        </is>
      </c>
      <c r="F117" t="inlineStr">
        <is>
          <t>CW_43_MFA2.xlsx</t>
        </is>
      </c>
      <c r="G117" t="inlineStr">
        <is>
          <t>CW39</t>
        </is>
      </c>
      <c r="H117" t="n">
        <v>17</v>
      </c>
    </row>
    <row r="118">
      <c r="A118" t="inlineStr">
        <is>
          <t>W177/W247 IP (MFA2)</t>
        </is>
      </c>
      <c r="B118" t="inlineStr">
        <is>
          <t>R</t>
        </is>
      </c>
      <c r="C118" t="inlineStr">
        <is>
          <t>Halmuieva Alla</t>
        </is>
      </c>
      <c r="D118" t="inlineStr">
        <is>
          <t>montáž</t>
        </is>
      </c>
      <c r="E118" t="inlineStr">
        <is>
          <t>06:00 - 18:00</t>
        </is>
      </c>
      <c r="F118" t="inlineStr">
        <is>
          <t>CW_43_MFA2.xlsx</t>
        </is>
      </c>
      <c r="G118" t="inlineStr">
        <is>
          <t>CW39</t>
        </is>
      </c>
      <c r="H118" t="n">
        <v>18</v>
      </c>
    </row>
    <row r="119">
      <c r="A119" t="inlineStr">
        <is>
          <t>W177/W247 IP (MFA2)</t>
        </is>
      </c>
      <c r="B119" t="inlineStr">
        <is>
          <t>N</t>
        </is>
      </c>
      <c r="C119" t="inlineStr">
        <is>
          <t>Shchypets Kateryna</t>
        </is>
      </c>
      <c r="D119" t="inlineStr">
        <is>
          <t>montáž</t>
        </is>
      </c>
      <c r="E119" t="inlineStr">
        <is>
          <t>18:00 - 06:00</t>
        </is>
      </c>
      <c r="F119" t="inlineStr">
        <is>
          <t>CW_43_MFA2.xlsx</t>
        </is>
      </c>
      <c r="G119" t="inlineStr">
        <is>
          <t>CW39</t>
        </is>
      </c>
      <c r="H119" t="n">
        <v>18</v>
      </c>
    </row>
    <row r="120">
      <c r="A120" t="inlineStr">
        <is>
          <t>W177/W247 IP (MFA2)</t>
        </is>
      </c>
      <c r="B120" t="inlineStr">
        <is>
          <t>R</t>
        </is>
      </c>
      <c r="C120" t="inlineStr">
        <is>
          <t>Mostapeniuk Oksana</t>
        </is>
      </c>
      <c r="D120" t="inlineStr">
        <is>
          <t>Rework</t>
        </is>
      </c>
      <c r="E120" t="inlineStr">
        <is>
          <t>06:00 - 18:00</t>
        </is>
      </c>
      <c r="F120" t="inlineStr">
        <is>
          <t>CW_43_MFA2.xlsx</t>
        </is>
      </c>
      <c r="G120" t="inlineStr">
        <is>
          <t>CW39</t>
        </is>
      </c>
      <c r="H120" t="n">
        <v>19</v>
      </c>
    </row>
    <row r="121">
      <c r="A121" t="inlineStr">
        <is>
          <t>W177/W247 IP (MFA2)</t>
        </is>
      </c>
      <c r="B121" t="inlineStr">
        <is>
          <t>N</t>
        </is>
      </c>
      <c r="C121" t="inlineStr">
        <is>
          <t>Tsiple Maryna</t>
        </is>
      </c>
      <c r="D121" t="inlineStr">
        <is>
          <t>Rework</t>
        </is>
      </c>
      <c r="E121" t="inlineStr">
        <is>
          <t>18:00 - 06:00</t>
        </is>
      </c>
      <c r="F121" t="inlineStr">
        <is>
          <t>CW_43_MFA2.xlsx</t>
        </is>
      </c>
      <c r="G121" t="inlineStr">
        <is>
          <t>CW39</t>
        </is>
      </c>
      <c r="H121" t="n">
        <v>19</v>
      </c>
    </row>
    <row r="122">
      <c r="A122" t="inlineStr">
        <is>
          <t>MBEAM</t>
        </is>
      </c>
      <c r="B122" t="inlineStr">
        <is>
          <t>R</t>
        </is>
      </c>
      <c r="C122" t="inlineStr">
        <is>
          <t>Yefimova Olena</t>
        </is>
      </c>
      <c r="D122" t="inlineStr">
        <is>
          <t>Punching</t>
        </is>
      </c>
      <c r="E122" t="inlineStr">
        <is>
          <t>06:00-14:00</t>
        </is>
      </c>
      <c r="F122" t="inlineStr">
        <is>
          <t>CW_43_Mbeam_.xlsx</t>
        </is>
      </c>
      <c r="G122" t="inlineStr">
        <is>
          <t>cw7</t>
        </is>
      </c>
      <c r="H122" t="n">
        <v>12</v>
      </c>
    </row>
    <row r="123">
      <c r="A123" t="inlineStr">
        <is>
          <t>MBEAM</t>
        </is>
      </c>
      <c r="B123" t="inlineStr">
        <is>
          <t>O</t>
        </is>
      </c>
      <c r="C123" t="inlineStr">
        <is>
          <t>Yarema Maia</t>
        </is>
      </c>
      <c r="D123" t="inlineStr">
        <is>
          <t>Punching</t>
        </is>
      </c>
      <c r="E123" t="inlineStr">
        <is>
          <t>14:00-22:00</t>
        </is>
      </c>
      <c r="F123" t="inlineStr">
        <is>
          <t>CW_43_Mbeam_.xlsx</t>
        </is>
      </c>
      <c r="G123" t="inlineStr">
        <is>
          <t>cw7</t>
        </is>
      </c>
      <c r="H123" t="n">
        <v>12</v>
      </c>
    </row>
    <row r="124">
      <c r="A124" t="inlineStr">
        <is>
          <t>MBEAM</t>
        </is>
      </c>
      <c r="B124" t="inlineStr">
        <is>
          <t>N</t>
        </is>
      </c>
      <c r="C124" t="inlineStr">
        <is>
          <t>Trubková Věra</t>
        </is>
      </c>
      <c r="D124" t="inlineStr">
        <is>
          <t>Punching</t>
        </is>
      </c>
      <c r="E124" t="inlineStr">
        <is>
          <t>22:00-06:00</t>
        </is>
      </c>
      <c r="F124" t="inlineStr">
        <is>
          <t>CW_43_Mbeam_.xlsx</t>
        </is>
      </c>
      <c r="G124" t="inlineStr">
        <is>
          <t>cw7</t>
        </is>
      </c>
      <c r="H124" t="n">
        <v>12</v>
      </c>
    </row>
    <row r="125">
      <c r="A125" t="inlineStr">
        <is>
          <t>MBEAM</t>
        </is>
      </c>
      <c r="B125" t="inlineStr">
        <is>
          <t>R</t>
        </is>
      </c>
      <c r="C125" t="inlineStr">
        <is>
          <t>Filias Olena</t>
        </is>
      </c>
      <c r="D125" t="inlineStr">
        <is>
          <t>Laser</t>
        </is>
      </c>
      <c r="E125" t="inlineStr">
        <is>
          <t>06:00-14:00</t>
        </is>
      </c>
      <c r="F125" t="inlineStr">
        <is>
          <t>CW_43_Mbeam_.xlsx</t>
        </is>
      </c>
      <c r="G125" t="inlineStr">
        <is>
          <t>cw7</t>
        </is>
      </c>
      <c r="H125" t="n">
        <v>13</v>
      </c>
    </row>
    <row r="126">
      <c r="A126" t="inlineStr">
        <is>
          <t>MBEAM</t>
        </is>
      </c>
      <c r="B126" t="inlineStr">
        <is>
          <t>O</t>
        </is>
      </c>
      <c r="C126" t="inlineStr">
        <is>
          <t>Akhtyrska Yevhenia</t>
        </is>
      </c>
      <c r="D126" t="inlineStr">
        <is>
          <t>Laser</t>
        </is>
      </c>
      <c r="E126" t="inlineStr">
        <is>
          <t>14:00-22:00</t>
        </is>
      </c>
      <c r="F126" t="inlineStr">
        <is>
          <t>CW_43_Mbeam_.xlsx</t>
        </is>
      </c>
      <c r="G126" t="inlineStr">
        <is>
          <t>cw7</t>
        </is>
      </c>
      <c r="H126" t="n">
        <v>13</v>
      </c>
    </row>
    <row r="127">
      <c r="A127" t="inlineStr">
        <is>
          <t>MBEAM</t>
        </is>
      </c>
      <c r="B127" t="inlineStr">
        <is>
          <t>N</t>
        </is>
      </c>
      <c r="C127" t="inlineStr">
        <is>
          <t>Ciolea Emanuela Nicoleta Andre</t>
        </is>
      </c>
      <c r="D127" t="inlineStr">
        <is>
          <t>Laser</t>
        </is>
      </c>
      <c r="E127" t="inlineStr">
        <is>
          <t>22:00-06:00</t>
        </is>
      </c>
      <c r="F127" t="inlineStr">
        <is>
          <t>CW_43_Mbeam_.xlsx</t>
        </is>
      </c>
      <c r="G127" t="inlineStr">
        <is>
          <t>cw7</t>
        </is>
      </c>
      <c r="H127" t="n">
        <v>13</v>
      </c>
    </row>
    <row r="128">
      <c r="A128" t="inlineStr">
        <is>
          <t>MBEAM</t>
        </is>
      </c>
      <c r="B128" t="inlineStr">
        <is>
          <t>R</t>
        </is>
      </c>
      <c r="C128" t="inlineStr">
        <is>
          <t>Opalenyk Mariana</t>
        </is>
      </c>
      <c r="D128" t="inlineStr">
        <is>
          <t>Usw1</t>
        </is>
      </c>
      <c r="E128" t="inlineStr">
        <is>
          <t>06:00-14:00</t>
        </is>
      </c>
      <c r="F128" t="inlineStr">
        <is>
          <t>CW_43_Mbeam_.xlsx</t>
        </is>
      </c>
      <c r="G128" t="inlineStr">
        <is>
          <t>cw7</t>
        </is>
      </c>
      <c r="H128" t="n">
        <v>14</v>
      </c>
    </row>
    <row r="129">
      <c r="A129" t="inlineStr">
        <is>
          <t>MBEAM</t>
        </is>
      </c>
      <c r="B129" t="inlineStr">
        <is>
          <t>O</t>
        </is>
      </c>
      <c r="C129" t="inlineStr">
        <is>
          <t>Vaňková Tereza</t>
        </is>
      </c>
      <c r="D129" t="inlineStr">
        <is>
          <t>Usw1</t>
        </is>
      </c>
      <c r="E129" t="inlineStr">
        <is>
          <t>14:00-22:00</t>
        </is>
      </c>
      <c r="F129" t="inlineStr">
        <is>
          <t>CW_43_Mbeam_.xlsx</t>
        </is>
      </c>
      <c r="G129" t="inlineStr">
        <is>
          <t>cw7</t>
        </is>
      </c>
      <c r="H129" t="n">
        <v>14</v>
      </c>
    </row>
    <row r="130">
      <c r="A130" t="inlineStr">
        <is>
          <t>MBEAM</t>
        </is>
      </c>
      <c r="B130" t="inlineStr">
        <is>
          <t>N</t>
        </is>
      </c>
      <c r="C130" t="inlineStr">
        <is>
          <t>Morkryanik Vitalii</t>
        </is>
      </c>
      <c r="D130" t="inlineStr">
        <is>
          <t>Usw1</t>
        </is>
      </c>
      <c r="E130" t="inlineStr">
        <is>
          <t>22:00-06:00</t>
        </is>
      </c>
      <c r="F130" t="inlineStr">
        <is>
          <t>CW_43_Mbeam_.xlsx</t>
        </is>
      </c>
      <c r="G130" t="inlineStr">
        <is>
          <t>cw7</t>
        </is>
      </c>
      <c r="H130" t="n">
        <v>14</v>
      </c>
    </row>
    <row r="131">
      <c r="A131" t="inlineStr">
        <is>
          <t>MBEAM</t>
        </is>
      </c>
      <c r="B131" t="inlineStr">
        <is>
          <t>R</t>
        </is>
      </c>
      <c r="C131" t="inlineStr">
        <is>
          <t>Korol Roman</t>
        </is>
      </c>
      <c r="D131" t="inlineStr">
        <is>
          <t>Usw 2</t>
        </is>
      </c>
      <c r="E131" t="inlineStr">
        <is>
          <t>06:00-14:00</t>
        </is>
      </c>
      <c r="F131" t="inlineStr">
        <is>
          <t>CW_43_Mbeam_.xlsx</t>
        </is>
      </c>
      <c r="G131" t="inlineStr">
        <is>
          <t>cw7</t>
        </is>
      </c>
      <c r="H131" t="n">
        <v>15</v>
      </c>
    </row>
    <row r="132">
      <c r="A132" t="inlineStr">
        <is>
          <t>MBEAM</t>
        </is>
      </c>
      <c r="B132" t="inlineStr">
        <is>
          <t>O</t>
        </is>
      </c>
      <c r="C132" t="inlineStr">
        <is>
          <t>Nespliak Oksana</t>
        </is>
      </c>
      <c r="D132" t="inlineStr">
        <is>
          <t>Usw 2</t>
        </is>
      </c>
      <c r="E132" t="inlineStr">
        <is>
          <t>14:00-22:00</t>
        </is>
      </c>
      <c r="F132" t="inlineStr">
        <is>
          <t>CW_43_Mbeam_.xlsx</t>
        </is>
      </c>
      <c r="G132" t="inlineStr">
        <is>
          <t>cw7</t>
        </is>
      </c>
      <c r="H132" t="n">
        <v>15</v>
      </c>
    </row>
    <row r="133">
      <c r="A133" t="inlineStr">
        <is>
          <t>MBEAM</t>
        </is>
      </c>
      <c r="B133" t="inlineStr">
        <is>
          <t>N</t>
        </is>
      </c>
      <c r="C133" t="inlineStr">
        <is>
          <t>Olender Yuliia</t>
        </is>
      </c>
      <c r="D133" t="inlineStr">
        <is>
          <t>Usw 2</t>
        </is>
      </c>
      <c r="E133" t="inlineStr">
        <is>
          <t>22:00-06:00</t>
        </is>
      </c>
      <c r="F133" t="inlineStr">
        <is>
          <t>CW_43_Mbeam_.xlsx</t>
        </is>
      </c>
      <c r="G133" t="inlineStr">
        <is>
          <t>cw7</t>
        </is>
      </c>
      <c r="H133" t="n">
        <v>15</v>
      </c>
    </row>
    <row r="134">
      <c r="A134" t="inlineStr">
        <is>
          <t>MBEAM</t>
        </is>
      </c>
      <c r="B134" t="inlineStr">
        <is>
          <t>R</t>
        </is>
      </c>
      <c r="C134" t="inlineStr">
        <is>
          <t>Yefremova Tetiana</t>
        </is>
      </c>
      <c r="D134" t="inlineStr">
        <is>
          <t>Assy fleece 1</t>
        </is>
      </c>
      <c r="E134" t="inlineStr">
        <is>
          <t>06:00-14:00</t>
        </is>
      </c>
      <c r="F134" t="inlineStr">
        <is>
          <t>CW_43_Mbeam_.xlsx</t>
        </is>
      </c>
      <c r="G134" t="inlineStr">
        <is>
          <t>cw7</t>
        </is>
      </c>
      <c r="H134" t="n">
        <v>16</v>
      </c>
    </row>
    <row r="135">
      <c r="A135" t="inlineStr">
        <is>
          <t>MBEAM</t>
        </is>
      </c>
      <c r="B135" t="inlineStr">
        <is>
          <t>O</t>
        </is>
      </c>
      <c r="C135" t="inlineStr">
        <is>
          <t>Konfedrat Mariana</t>
        </is>
      </c>
      <c r="D135" t="inlineStr">
        <is>
          <t>Assy fleece</t>
        </is>
      </c>
      <c r="E135" t="inlineStr">
        <is>
          <t>14:00-22:00</t>
        </is>
      </c>
      <c r="F135" t="inlineStr">
        <is>
          <t>CW_43_Mbeam_.xlsx</t>
        </is>
      </c>
      <c r="G135" t="inlineStr">
        <is>
          <t>cw7</t>
        </is>
      </c>
      <c r="H135" t="n">
        <v>16</v>
      </c>
    </row>
    <row r="136">
      <c r="A136" t="inlineStr">
        <is>
          <t>MBEAM</t>
        </is>
      </c>
      <c r="B136" t="inlineStr">
        <is>
          <t>N</t>
        </is>
      </c>
      <c r="C136" t="inlineStr">
        <is>
          <t>Aheieva Yevheniia</t>
        </is>
      </c>
      <c r="D136" t="inlineStr">
        <is>
          <t>Assy fleece</t>
        </is>
      </c>
      <c r="E136" t="inlineStr">
        <is>
          <t>22:00-06:00</t>
        </is>
      </c>
      <c r="F136" t="inlineStr">
        <is>
          <t>CW_43_Mbeam_.xlsx</t>
        </is>
      </c>
      <c r="G136" t="inlineStr">
        <is>
          <t>cw7</t>
        </is>
      </c>
      <c r="H136" t="n">
        <v>16</v>
      </c>
    </row>
    <row r="137">
      <c r="A137" t="inlineStr">
        <is>
          <t>MBEAM</t>
        </is>
      </c>
      <c r="B137" t="inlineStr">
        <is>
          <t>R</t>
        </is>
      </c>
      <c r="C137" t="inlineStr">
        <is>
          <t>Henba Alla</t>
        </is>
      </c>
      <c r="D137" t="inlineStr">
        <is>
          <t>Assy fleece 2</t>
        </is>
      </c>
      <c r="E137" t="inlineStr">
        <is>
          <t>06:00-14:00</t>
        </is>
      </c>
      <c r="F137" t="inlineStr">
        <is>
          <t>CW_43_Mbeam_.xlsx</t>
        </is>
      </c>
      <c r="G137" t="inlineStr">
        <is>
          <t>cw7</t>
        </is>
      </c>
      <c r="H137" t="n">
        <v>17</v>
      </c>
    </row>
    <row r="138">
      <c r="A138" t="inlineStr">
        <is>
          <t>MBEAM</t>
        </is>
      </c>
      <c r="B138" t="inlineStr">
        <is>
          <t>O</t>
        </is>
      </c>
      <c r="C138" t="inlineStr">
        <is>
          <t>Herasymchuk Lesia</t>
        </is>
      </c>
      <c r="D138" t="inlineStr">
        <is>
          <t>Assy fleece</t>
        </is>
      </c>
      <c r="E138" t="inlineStr">
        <is>
          <t>14:00-22:00</t>
        </is>
      </c>
      <c r="F138" t="inlineStr">
        <is>
          <t>CW_43_Mbeam_.xlsx</t>
        </is>
      </c>
      <c r="G138" t="inlineStr">
        <is>
          <t>cw7</t>
        </is>
      </c>
      <c r="H138" t="n">
        <v>17</v>
      </c>
    </row>
    <row r="139">
      <c r="A139" t="inlineStr">
        <is>
          <t>MBEAM</t>
        </is>
      </c>
      <c r="B139" t="inlineStr">
        <is>
          <t>N</t>
        </is>
      </c>
      <c r="C139" t="inlineStr">
        <is>
          <t>Horvath Jana</t>
        </is>
      </c>
      <c r="D139" t="inlineStr">
        <is>
          <t>Assy fleece</t>
        </is>
      </c>
      <c r="E139" t="inlineStr">
        <is>
          <t>22:00-06:00</t>
        </is>
      </c>
      <c r="F139" t="inlineStr">
        <is>
          <t>CW_43_Mbeam_.xlsx</t>
        </is>
      </c>
      <c r="G139" t="inlineStr">
        <is>
          <t>cw7</t>
        </is>
      </c>
      <c r="H139" t="n">
        <v>17</v>
      </c>
    </row>
    <row r="140">
      <c r="A140" t="inlineStr">
        <is>
          <t>MBEAM</t>
        </is>
      </c>
      <c r="B140" t="inlineStr">
        <is>
          <t>R</t>
        </is>
      </c>
      <c r="C140" t="inlineStr">
        <is>
          <t>Prokopenko Serhii</t>
        </is>
      </c>
      <c r="D140" t="inlineStr">
        <is>
          <t>Final assy</t>
        </is>
      </c>
      <c r="E140" t="inlineStr">
        <is>
          <t>06:00-14:00</t>
        </is>
      </c>
      <c r="F140" t="inlineStr">
        <is>
          <t>CW_43_Mbeam_.xlsx</t>
        </is>
      </c>
      <c r="G140" t="inlineStr">
        <is>
          <t>cw7</t>
        </is>
      </c>
      <c r="H140" t="n">
        <v>18</v>
      </c>
    </row>
    <row r="141">
      <c r="A141" t="inlineStr">
        <is>
          <t>MBEAM</t>
        </is>
      </c>
      <c r="B141" t="inlineStr">
        <is>
          <t>O</t>
        </is>
      </c>
      <c r="C141" t="inlineStr">
        <is>
          <t>Opalenyk Mykhailo</t>
        </is>
      </c>
      <c r="D141" t="inlineStr">
        <is>
          <t>Final assy</t>
        </is>
      </c>
      <c r="E141" t="inlineStr">
        <is>
          <t>14:00-22:00</t>
        </is>
      </c>
      <c r="F141" t="inlineStr">
        <is>
          <t>CW_43_Mbeam_.xlsx</t>
        </is>
      </c>
      <c r="G141" t="inlineStr">
        <is>
          <t>cw7</t>
        </is>
      </c>
      <c r="H141" t="n">
        <v>18</v>
      </c>
    </row>
    <row r="142">
      <c r="A142" t="inlineStr">
        <is>
          <t>MBEAM</t>
        </is>
      </c>
      <c r="B142" t="inlineStr">
        <is>
          <t>N</t>
        </is>
      </c>
      <c r="C142" t="inlineStr">
        <is>
          <t>Ivashko Yurii</t>
        </is>
      </c>
      <c r="D142" t="inlineStr">
        <is>
          <t>Final assy</t>
        </is>
      </c>
      <c r="E142" t="inlineStr">
        <is>
          <t>22:00-06:00</t>
        </is>
      </c>
      <c r="F142" t="inlineStr">
        <is>
          <t>CW_43_Mbeam_.xlsx</t>
        </is>
      </c>
      <c r="G142" t="inlineStr">
        <is>
          <t>cw7</t>
        </is>
      </c>
      <c r="H142" t="n">
        <v>18</v>
      </c>
    </row>
    <row r="143">
      <c r="A143" t="inlineStr">
        <is>
          <t>MBEAM</t>
        </is>
      </c>
      <c r="B143" t="inlineStr">
        <is>
          <t>R</t>
        </is>
      </c>
      <c r="C143" t="inlineStr">
        <is>
          <t>Tsymbal Vasyl</t>
        </is>
      </c>
      <c r="D143" t="inlineStr">
        <is>
          <t>Montáž CUN</t>
        </is>
      </c>
      <c r="E143" t="inlineStr">
        <is>
          <t>06:00-14:00</t>
        </is>
      </c>
      <c r="F143" t="inlineStr">
        <is>
          <t>CW_43_Mbeam_.xlsx</t>
        </is>
      </c>
      <c r="G143" t="inlineStr">
        <is>
          <t>cw7</t>
        </is>
      </c>
      <c r="H143" t="n">
        <v>19</v>
      </c>
    </row>
    <row r="144">
      <c r="A144" t="inlineStr">
        <is>
          <t>MBEAM</t>
        </is>
      </c>
      <c r="B144" t="inlineStr">
        <is>
          <t>O</t>
        </is>
      </c>
      <c r="C144" t="inlineStr">
        <is>
          <t>Drahun Andrii</t>
        </is>
      </c>
      <c r="D144" t="inlineStr">
        <is>
          <t>Montáž CUN</t>
        </is>
      </c>
      <c r="E144" t="inlineStr">
        <is>
          <t>14:00-22:00</t>
        </is>
      </c>
      <c r="F144" t="inlineStr">
        <is>
          <t>CW_43_Mbeam_.xlsx</t>
        </is>
      </c>
      <c r="G144" t="inlineStr">
        <is>
          <t>cw7</t>
        </is>
      </c>
      <c r="H144" t="n">
        <v>19</v>
      </c>
    </row>
    <row r="145">
      <c r="A145" t="inlineStr">
        <is>
          <t>MBEAM</t>
        </is>
      </c>
      <c r="B145" t="inlineStr">
        <is>
          <t>N</t>
        </is>
      </c>
      <c r="C145" t="inlineStr">
        <is>
          <t>Trachuk Katerina</t>
        </is>
      </c>
      <c r="D145" t="inlineStr">
        <is>
          <t>Montáž CUN</t>
        </is>
      </c>
      <c r="E145" t="inlineStr">
        <is>
          <t>22:00-06:00</t>
        </is>
      </c>
      <c r="F145" t="inlineStr">
        <is>
          <t>CW_43_Mbeam_.xlsx</t>
        </is>
      </c>
      <c r="G145" t="inlineStr">
        <is>
          <t>cw7</t>
        </is>
      </c>
      <c r="H145" t="n">
        <v>19</v>
      </c>
    </row>
    <row r="146">
      <c r="A146" t="inlineStr">
        <is>
          <t>MBEAM</t>
        </is>
      </c>
      <c r="B146" t="inlineStr">
        <is>
          <t>R</t>
        </is>
      </c>
      <c r="C146" t="inlineStr">
        <is>
          <t>Lytvynenko Valentyna</t>
        </is>
      </c>
      <c r="D146" t="inlineStr">
        <is>
          <t>Montáž CUN</t>
        </is>
      </c>
      <c r="E146" t="inlineStr">
        <is>
          <t>06:00-14:00</t>
        </is>
      </c>
      <c r="F146" t="inlineStr">
        <is>
          <t>CW_43_Mbeam_.xlsx</t>
        </is>
      </c>
      <c r="G146" t="inlineStr">
        <is>
          <t>cw7</t>
        </is>
      </c>
      <c r="H146" t="n">
        <v>20</v>
      </c>
    </row>
    <row r="147">
      <c r="A147" t="inlineStr">
        <is>
          <t>MBEAM</t>
        </is>
      </c>
      <c r="B147" t="inlineStr">
        <is>
          <t>O</t>
        </is>
      </c>
      <c r="C147" t="inlineStr">
        <is>
          <t>Feldman Mária</t>
        </is>
      </c>
      <c r="D147" t="inlineStr">
        <is>
          <t>Montáž CUN</t>
        </is>
      </c>
      <c r="E147" t="inlineStr">
        <is>
          <t>14:00-22:00</t>
        </is>
      </c>
      <c r="F147" t="inlineStr">
        <is>
          <t>CW_43_Mbeam_.xlsx</t>
        </is>
      </c>
      <c r="G147" t="inlineStr">
        <is>
          <t>cw7</t>
        </is>
      </c>
      <c r="H147" t="n">
        <v>20</v>
      </c>
    </row>
    <row r="148">
      <c r="A148" t="inlineStr">
        <is>
          <t>MBEAM</t>
        </is>
      </c>
      <c r="B148" t="inlineStr">
        <is>
          <t>N</t>
        </is>
      </c>
      <c r="C148" t="inlineStr">
        <is>
          <t>Trachuk Oleksandr</t>
        </is>
      </c>
      <c r="D148" t="inlineStr">
        <is>
          <t>Montáž CUN</t>
        </is>
      </c>
      <c r="E148" t="inlineStr">
        <is>
          <t>22:00-06:00</t>
        </is>
      </c>
      <c r="F148" t="inlineStr">
        <is>
          <t>CW_43_Mbeam_.xlsx</t>
        </is>
      </c>
      <c r="G148" t="inlineStr">
        <is>
          <t>cw7</t>
        </is>
      </c>
      <c r="H148" t="n">
        <v>20</v>
      </c>
    </row>
    <row r="149">
      <c r="A149" t="inlineStr">
        <is>
          <t>MBEAM</t>
        </is>
      </c>
      <c r="B149" t="inlineStr">
        <is>
          <t>R</t>
        </is>
      </c>
      <c r="C149" t="inlineStr">
        <is>
          <t>Biro Kristina</t>
        </is>
      </c>
      <c r="D149" t="inlineStr">
        <is>
          <t>Montáž CUN</t>
        </is>
      </c>
      <c r="E149" t="inlineStr">
        <is>
          <t>22:00-06:00</t>
        </is>
      </c>
      <c r="F149" t="inlineStr">
        <is>
          <t>CW_43_Mbeam_.xlsx</t>
        </is>
      </c>
      <c r="G149" t="inlineStr">
        <is>
          <t>cw7</t>
        </is>
      </c>
      <c r="H149" t="n">
        <v>21</v>
      </c>
    </row>
    <row r="150">
      <c r="A150" t="inlineStr">
        <is>
          <t>G463 Assembly</t>
        </is>
      </c>
      <c r="B150" t="inlineStr">
        <is>
          <t>R</t>
        </is>
      </c>
      <c r="C150" t="inlineStr">
        <is>
          <t>Potlova Vladyslava</t>
        </is>
      </c>
      <c r="D150" t="inlineStr">
        <is>
          <t>Sklad/sekvence HB</t>
        </is>
      </c>
      <c r="E150" t="inlineStr">
        <is>
          <t>06:00 - 18:00</t>
        </is>
      </c>
      <c r="F150" t="inlineStr">
        <is>
          <t>CW_43_G463_aktual.xlsx</t>
        </is>
      </c>
      <c r="G150" t="inlineStr">
        <is>
          <t>CW 24 2024</t>
        </is>
      </c>
      <c r="H150" t="n">
        <v>15</v>
      </c>
    </row>
    <row r="151">
      <c r="A151" t="inlineStr">
        <is>
          <t>G463 Assembly</t>
        </is>
      </c>
      <c r="B151" t="inlineStr">
        <is>
          <t>N</t>
        </is>
      </c>
      <c r="C151" t="inlineStr">
        <is>
          <t>Peredariuk Hanna</t>
        </is>
      </c>
      <c r="D151" t="inlineStr">
        <is>
          <t>Sklad/sekvence HB</t>
        </is>
      </c>
      <c r="E151" t="inlineStr">
        <is>
          <t>18:00 - 06:00</t>
        </is>
      </c>
      <c r="F151" t="inlineStr">
        <is>
          <t>CW_43_G463_aktual.xlsx</t>
        </is>
      </c>
      <c r="G151" t="inlineStr">
        <is>
          <t>CW 24 2024</t>
        </is>
      </c>
      <c r="H151" t="n">
        <v>15</v>
      </c>
    </row>
    <row r="152">
      <c r="A152" t="inlineStr">
        <is>
          <t>G463 Assembly</t>
        </is>
      </c>
      <c r="B152" t="inlineStr">
        <is>
          <t>R</t>
        </is>
      </c>
      <c r="C152" t="inlineStr">
        <is>
          <t>Petra Dziurová</t>
        </is>
      </c>
      <c r="D152" t="inlineStr">
        <is>
          <t>Sequence</t>
        </is>
      </c>
      <c r="E152" t="inlineStr">
        <is>
          <t>06:00 - 14:00</t>
        </is>
      </c>
      <c r="F152" t="inlineStr">
        <is>
          <t>CW_43_G463_aktual.xlsx</t>
        </is>
      </c>
      <c r="G152" t="inlineStr">
        <is>
          <t>CW 24 2024</t>
        </is>
      </c>
      <c r="H152" t="n">
        <v>16</v>
      </c>
    </row>
    <row r="153">
      <c r="A153" t="inlineStr">
        <is>
          <t>G463 Assembly</t>
        </is>
      </c>
      <c r="B153" t="inlineStr">
        <is>
          <t>O</t>
        </is>
      </c>
      <c r="C153" t="inlineStr">
        <is>
          <t>Kubai Iryna</t>
        </is>
      </c>
      <c r="D153" t="inlineStr">
        <is>
          <t>Sequence</t>
        </is>
      </c>
      <c r="E153" t="inlineStr">
        <is>
          <t>14:00 - 22:00</t>
        </is>
      </c>
      <c r="F153" t="inlineStr">
        <is>
          <t>CW_43_G463_aktual.xlsx</t>
        </is>
      </c>
      <c r="G153" t="inlineStr">
        <is>
          <t>CW 24 2024</t>
        </is>
      </c>
      <c r="H153" t="n">
        <v>16</v>
      </c>
    </row>
    <row r="154">
      <c r="A154" t="inlineStr">
        <is>
          <t>G463 Assembly</t>
        </is>
      </c>
      <c r="B154" t="inlineStr">
        <is>
          <t>N</t>
        </is>
      </c>
      <c r="C154" t="inlineStr">
        <is>
          <t>Bystrova Katerina</t>
        </is>
      </c>
      <c r="D154" t="inlineStr">
        <is>
          <t>Sequence</t>
        </is>
      </c>
      <c r="E154" t="inlineStr">
        <is>
          <t>22:00 - 06:00</t>
        </is>
      </c>
      <c r="F154" t="inlineStr">
        <is>
          <t>CW_43_G463_aktual.xlsx</t>
        </is>
      </c>
      <c r="G154" t="inlineStr">
        <is>
          <t>CW 24 2024</t>
        </is>
      </c>
      <c r="H154" t="n">
        <v>16</v>
      </c>
    </row>
    <row r="155">
      <c r="A155" t="inlineStr">
        <is>
          <t>G463 Assembly</t>
        </is>
      </c>
      <c r="B155" t="inlineStr">
        <is>
          <t>R</t>
        </is>
      </c>
      <c r="C155" t="inlineStr">
        <is>
          <t>Chekhlov Vitalii</t>
        </is>
      </c>
      <c r="D155" t="inlineStr">
        <is>
          <t>Předmontáž VD</t>
        </is>
      </c>
      <c r="E155" t="inlineStr">
        <is>
          <t>06:00 - 14:00</t>
        </is>
      </c>
      <c r="F155" t="inlineStr">
        <is>
          <t>CW_43_G463_aktual.xlsx</t>
        </is>
      </c>
      <c r="G155" t="inlineStr">
        <is>
          <t>CW 24 2024</t>
        </is>
      </c>
      <c r="H155" t="n">
        <v>17</v>
      </c>
    </row>
    <row r="156">
      <c r="A156" t="inlineStr">
        <is>
          <t>G463 Assembly</t>
        </is>
      </c>
      <c r="B156" t="inlineStr">
        <is>
          <t>R</t>
        </is>
      </c>
      <c r="C156" t="inlineStr">
        <is>
          <t>Vovesný Aleš</t>
        </is>
      </c>
      <c r="D156" t="inlineStr">
        <is>
          <t>Předmontáž VD</t>
        </is>
      </c>
      <c r="E156" t="inlineStr">
        <is>
          <t>06:00 - 14:00</t>
        </is>
      </c>
      <c r="F156" t="inlineStr">
        <is>
          <t>CW_43_G463_aktual.xlsx</t>
        </is>
      </c>
      <c r="G156" t="inlineStr">
        <is>
          <t>CW 24 2024</t>
        </is>
      </c>
      <c r="H156" t="n">
        <v>17</v>
      </c>
    </row>
    <row r="157">
      <c r="A157" t="inlineStr">
        <is>
          <t>G463 Assembly</t>
        </is>
      </c>
      <c r="B157" t="inlineStr">
        <is>
          <t>O</t>
        </is>
      </c>
      <c r="C157" t="inlineStr">
        <is>
          <t>Ionascu Adrian</t>
        </is>
      </c>
      <c r="D157" t="inlineStr">
        <is>
          <t>Předmontáž VD</t>
        </is>
      </c>
      <c r="E157" t="inlineStr">
        <is>
          <t>14:00 - 22:00</t>
        </is>
      </c>
      <c r="F157" t="inlineStr">
        <is>
          <t>CW_43_G463_aktual.xlsx</t>
        </is>
      </c>
      <c r="G157" t="inlineStr">
        <is>
          <t>CW 24 2024</t>
        </is>
      </c>
      <c r="H157" t="n">
        <v>17</v>
      </c>
    </row>
    <row r="158">
      <c r="A158" t="inlineStr">
        <is>
          <t>G463 Assembly</t>
        </is>
      </c>
      <c r="B158" t="inlineStr">
        <is>
          <t>O</t>
        </is>
      </c>
      <c r="C158" t="inlineStr">
        <is>
          <t>Kulhan Marek</t>
        </is>
      </c>
      <c r="D158" t="inlineStr">
        <is>
          <t>Předmontáž VD</t>
        </is>
      </c>
      <c r="E158" t="inlineStr">
        <is>
          <t>14:00 - 22:00</t>
        </is>
      </c>
      <c r="F158" t="inlineStr">
        <is>
          <t>CW_43_G463_aktual.xlsx</t>
        </is>
      </c>
      <c r="G158" t="inlineStr">
        <is>
          <t>CW 24 2024</t>
        </is>
      </c>
      <c r="H158" t="n">
        <v>17</v>
      </c>
    </row>
    <row r="159">
      <c r="A159" t="inlineStr">
        <is>
          <t>G463 Assembly</t>
        </is>
      </c>
      <c r="B159" t="inlineStr">
        <is>
          <t>N</t>
        </is>
      </c>
      <c r="C159" t="inlineStr">
        <is>
          <t>Brailovskyi Yehor</t>
        </is>
      </c>
      <c r="D159" t="inlineStr">
        <is>
          <t>Předmontáž VD</t>
        </is>
      </c>
      <c r="E159" t="inlineStr">
        <is>
          <t>22:00 - 06:00</t>
        </is>
      </c>
      <c r="F159" t="inlineStr">
        <is>
          <t>CW_43_G463_aktual.xlsx</t>
        </is>
      </c>
      <c r="G159" t="inlineStr">
        <is>
          <t>CW 24 2024</t>
        </is>
      </c>
      <c r="H159" t="n">
        <v>17</v>
      </c>
    </row>
    <row r="160">
      <c r="A160" t="inlineStr">
        <is>
          <t>G463 Assembly</t>
        </is>
      </c>
      <c r="B160" t="inlineStr">
        <is>
          <t>R</t>
        </is>
      </c>
      <c r="C160" t="inlineStr">
        <is>
          <t>Polishuk Rostislav</t>
        </is>
      </c>
      <c r="D160" t="inlineStr">
        <is>
          <t>Předmontáž MD</t>
        </is>
      </c>
      <c r="E160" t="inlineStr">
        <is>
          <t>06:00 - 14:00</t>
        </is>
      </c>
      <c r="F160" t="inlineStr">
        <is>
          <t>CW_43_G463_aktual.xlsx</t>
        </is>
      </c>
      <c r="G160" t="inlineStr">
        <is>
          <t>CW 24 2024</t>
        </is>
      </c>
      <c r="H160" t="n">
        <v>18</v>
      </c>
    </row>
    <row r="161">
      <c r="A161" t="inlineStr">
        <is>
          <t>G463 Assembly</t>
        </is>
      </c>
      <c r="B161" t="inlineStr">
        <is>
          <t>O</t>
        </is>
      </c>
      <c r="C161" t="inlineStr">
        <is>
          <t>Reshetnyk Nikita</t>
        </is>
      </c>
      <c r="D161" t="inlineStr">
        <is>
          <t>Předmontáž MD</t>
        </is>
      </c>
      <c r="E161" t="inlineStr">
        <is>
          <t>14:00 - 22:00</t>
        </is>
      </c>
      <c r="F161" t="inlineStr">
        <is>
          <t>CW_43_G463_aktual.xlsx</t>
        </is>
      </c>
      <c r="G161" t="inlineStr">
        <is>
          <t>CW 24 2024</t>
        </is>
      </c>
      <c r="H161" t="n">
        <v>18</v>
      </c>
    </row>
    <row r="162">
      <c r="A162" t="inlineStr">
        <is>
          <t>G463 Assembly</t>
        </is>
      </c>
      <c r="B162" t="inlineStr">
        <is>
          <t>N</t>
        </is>
      </c>
      <c r="C162" t="inlineStr">
        <is>
          <t>Semenstov Mykyta</t>
        </is>
      </c>
      <c r="D162" t="inlineStr">
        <is>
          <t>Předmontáž MD</t>
        </is>
      </c>
      <c r="E162" t="inlineStr">
        <is>
          <t>22:00 - 06:00</t>
        </is>
      </c>
      <c r="F162" t="inlineStr">
        <is>
          <t>CW_43_G463_aktual.xlsx</t>
        </is>
      </c>
      <c r="G162" t="inlineStr">
        <is>
          <t>CW 24 2024</t>
        </is>
      </c>
      <c r="H162" t="n">
        <v>18</v>
      </c>
    </row>
    <row r="163">
      <c r="A163" t="inlineStr">
        <is>
          <t>G463 Assembly</t>
        </is>
      </c>
      <c r="B163" t="inlineStr">
        <is>
          <t>R</t>
        </is>
      </c>
      <c r="C163" t="inlineStr">
        <is>
          <t>Semenstov Illia (23.10-12 ka)</t>
        </is>
      </c>
      <c r="D163" t="inlineStr">
        <is>
          <t>Montáž VD</t>
        </is>
      </c>
      <c r="E163" t="inlineStr">
        <is>
          <t>06:00 - 14:00</t>
        </is>
      </c>
      <c r="F163" t="inlineStr">
        <is>
          <t>CW_43_G463_aktual.xlsx</t>
        </is>
      </c>
      <c r="G163" t="inlineStr">
        <is>
          <t>CW 24 2024</t>
        </is>
      </c>
      <c r="H163" t="n">
        <v>19</v>
      </c>
    </row>
    <row r="164">
      <c r="A164" t="inlineStr">
        <is>
          <t>G463 Assembly</t>
        </is>
      </c>
      <c r="B164" t="inlineStr">
        <is>
          <t>O</t>
        </is>
      </c>
      <c r="C164" t="inlineStr">
        <is>
          <t>Chehurko Hryhorii</t>
        </is>
      </c>
      <c r="D164" t="inlineStr">
        <is>
          <t>Montáž VD</t>
        </is>
      </c>
      <c r="E164" t="inlineStr">
        <is>
          <t>14:00 - 22:00</t>
        </is>
      </c>
      <c r="F164" t="inlineStr">
        <is>
          <t>CW_43_G463_aktual.xlsx</t>
        </is>
      </c>
      <c r="G164" t="inlineStr">
        <is>
          <t>CW 24 2024</t>
        </is>
      </c>
      <c r="H164" t="n">
        <v>19</v>
      </c>
    </row>
    <row r="165">
      <c r="A165" t="inlineStr">
        <is>
          <t>G463 Assembly</t>
        </is>
      </c>
      <c r="B165" t="inlineStr">
        <is>
          <t>N</t>
        </is>
      </c>
      <c r="C165" t="inlineStr">
        <is>
          <t>Virich Oleksandr</t>
        </is>
      </c>
      <c r="D165" t="inlineStr">
        <is>
          <t>Montáž VD</t>
        </is>
      </c>
      <c r="E165" t="inlineStr">
        <is>
          <t>22:00 - 06:00</t>
        </is>
      </c>
      <c r="F165" t="inlineStr">
        <is>
          <t>CW_43_G463_aktual.xlsx</t>
        </is>
      </c>
      <c r="G165" t="inlineStr">
        <is>
          <t>CW 24 2024</t>
        </is>
      </c>
      <c r="H165" t="n">
        <v>19</v>
      </c>
    </row>
    <row r="166">
      <c r="A166" t="inlineStr">
        <is>
          <t>G463 Assembly</t>
        </is>
      </c>
      <c r="B166" t="inlineStr">
        <is>
          <t>R</t>
        </is>
      </c>
      <c r="C166" t="inlineStr">
        <is>
          <t>Orlyk Kristina</t>
        </is>
      </c>
      <c r="D166" t="inlineStr">
        <is>
          <t>Montáž MD</t>
        </is>
      </c>
      <c r="E166" t="inlineStr">
        <is>
          <t>06:00 - 14:00</t>
        </is>
      </c>
      <c r="F166" t="inlineStr">
        <is>
          <t>CW_43_G463_aktual.xlsx</t>
        </is>
      </c>
      <c r="G166" t="inlineStr">
        <is>
          <t>CW 24 2024</t>
        </is>
      </c>
      <c r="H166" t="n">
        <v>20</v>
      </c>
    </row>
    <row r="167">
      <c r="A167" t="inlineStr">
        <is>
          <t>G463 Assembly</t>
        </is>
      </c>
      <c r="B167" t="inlineStr">
        <is>
          <t>O</t>
        </is>
      </c>
      <c r="C167" t="inlineStr">
        <is>
          <t>Kučera  Michal</t>
        </is>
      </c>
      <c r="D167" t="inlineStr">
        <is>
          <t>Montáž MD</t>
        </is>
      </c>
      <c r="E167" t="inlineStr">
        <is>
          <t>14:00 - 22:00</t>
        </is>
      </c>
      <c r="F167" t="inlineStr">
        <is>
          <t>CW_43_G463_aktual.xlsx</t>
        </is>
      </c>
      <c r="G167" t="inlineStr">
        <is>
          <t>CW 24 2024</t>
        </is>
      </c>
      <c r="H167" t="n">
        <v>20</v>
      </c>
    </row>
    <row r="168">
      <c r="A168" t="inlineStr">
        <is>
          <t>G463 Assembly</t>
        </is>
      </c>
      <c r="B168" t="inlineStr">
        <is>
          <t>N</t>
        </is>
      </c>
      <c r="C168" t="inlineStr">
        <is>
          <t>Rudavin Serhii</t>
        </is>
      </c>
      <c r="D168" t="inlineStr">
        <is>
          <t>Montáž MD</t>
        </is>
      </c>
      <c r="E168" t="inlineStr">
        <is>
          <t>22:00 - 06:00</t>
        </is>
      </c>
      <c r="F168" t="inlineStr">
        <is>
          <t>CW_43_G463_aktual.xlsx</t>
        </is>
      </c>
      <c r="G168" t="inlineStr">
        <is>
          <t>CW 24 2024</t>
        </is>
      </c>
      <c r="H168" t="n">
        <v>20</v>
      </c>
    </row>
    <row r="169">
      <c r="A169" t="inlineStr">
        <is>
          <t>G463 Assembly</t>
        </is>
      </c>
      <c r="B169" t="inlineStr">
        <is>
          <t>O</t>
        </is>
      </c>
      <c r="C169" t="inlineStr">
        <is>
          <t>Dzhuhan Andriana</t>
        </is>
      </c>
      <c r="D169" t="inlineStr">
        <is>
          <t>HB</t>
        </is>
      </c>
      <c r="E169" t="inlineStr">
        <is>
          <t>18:00 - 22:00</t>
        </is>
      </c>
      <c r="F169" t="inlineStr">
        <is>
          <t>CW_43_G463_aktual.xlsx</t>
        </is>
      </c>
      <c r="G169" t="inlineStr">
        <is>
          <t>CW 24 2024</t>
        </is>
      </c>
      <c r="H169" t="n">
        <v>21</v>
      </c>
    </row>
    <row r="170">
      <c r="A170" t="inlineStr">
        <is>
          <t>G463 Assembly</t>
        </is>
      </c>
      <c r="B170" t="inlineStr">
        <is>
          <t>O</t>
        </is>
      </c>
      <c r="C170" t="inlineStr">
        <is>
          <t>Izhyk Stepaniia</t>
        </is>
      </c>
      <c r="D170" t="inlineStr">
        <is>
          <t>HB</t>
        </is>
      </c>
      <c r="E170" t="inlineStr">
        <is>
          <t>18:00 - 22:00</t>
        </is>
      </c>
      <c r="F170" t="inlineStr">
        <is>
          <t>CW_43_G463_aktual.xlsx</t>
        </is>
      </c>
      <c r="G170" t="inlineStr">
        <is>
          <t>CW 24 2024</t>
        </is>
      </c>
      <c r="H170" t="n">
        <v>21</v>
      </c>
    </row>
    <row r="171">
      <c r="A171" t="inlineStr">
        <is>
          <t>G463 Assembly</t>
        </is>
      </c>
      <c r="B171" t="inlineStr">
        <is>
          <t>N</t>
        </is>
      </c>
      <c r="C171" t="inlineStr">
        <is>
          <t>Dzhuhan Andriana</t>
        </is>
      </c>
      <c r="D171" t="inlineStr">
        <is>
          <t>HB</t>
        </is>
      </c>
      <c r="E171" t="inlineStr">
        <is>
          <t>18:00 - 06:00</t>
        </is>
      </c>
      <c r="F171" t="inlineStr">
        <is>
          <t>CW_43_G463_aktual.xlsx</t>
        </is>
      </c>
      <c r="G171" t="inlineStr">
        <is>
          <t>CW 24 2024</t>
        </is>
      </c>
      <c r="H171" t="n">
        <v>21</v>
      </c>
    </row>
    <row r="172">
      <c r="A172" t="inlineStr">
        <is>
          <t>G463 Assembly</t>
        </is>
      </c>
      <c r="B172" t="inlineStr">
        <is>
          <t>R</t>
        </is>
      </c>
      <c r="C172" t="inlineStr">
        <is>
          <t>Traistaru Nikolas</t>
        </is>
      </c>
      <c r="D172" t="inlineStr">
        <is>
          <t>Rework</t>
        </is>
      </c>
      <c r="E172" t="inlineStr">
        <is>
          <t>06:00 - 18:00</t>
        </is>
      </c>
      <c r="F172" t="inlineStr">
        <is>
          <t>CW_43_G463_aktual.xlsx</t>
        </is>
      </c>
      <c r="G172" t="inlineStr">
        <is>
          <t>CW 24 2024</t>
        </is>
      </c>
      <c r="H172" t="n">
        <v>22</v>
      </c>
    </row>
    <row r="173">
      <c r="A173" t="inlineStr">
        <is>
          <t>G463 Assembly</t>
        </is>
      </c>
      <c r="B173" t="inlineStr">
        <is>
          <t>R</t>
        </is>
      </c>
      <c r="C173" t="inlineStr">
        <is>
          <t>Althukova Yulia</t>
        </is>
      </c>
      <c r="D173" t="inlineStr">
        <is>
          <t>Antisqueek</t>
        </is>
      </c>
      <c r="E173" t="inlineStr">
        <is>
          <t>06:00 - 14:00</t>
        </is>
      </c>
      <c r="F173" t="inlineStr">
        <is>
          <t>CW_43_G463_aktual.xlsx</t>
        </is>
      </c>
      <c r="G173" t="inlineStr">
        <is>
          <t>CW 24 2024</t>
        </is>
      </c>
      <c r="H173" t="n">
        <v>24</v>
      </c>
    </row>
    <row r="174">
      <c r="A174" t="inlineStr">
        <is>
          <t>G463 Assembly</t>
        </is>
      </c>
      <c r="B174" t="inlineStr">
        <is>
          <t>O</t>
        </is>
      </c>
      <c r="C174" t="inlineStr">
        <is>
          <t>Beschastna Dariia</t>
        </is>
      </c>
      <c r="D174" t="inlineStr">
        <is>
          <t>Antisqueek</t>
        </is>
      </c>
      <c r="E174" t="inlineStr">
        <is>
          <t>14:00 - 22:00</t>
        </is>
      </c>
      <c r="F174" t="inlineStr">
        <is>
          <t>CW_43_G463_aktual.xlsx</t>
        </is>
      </c>
      <c r="G174" t="inlineStr">
        <is>
          <t>CW 24 2024</t>
        </is>
      </c>
      <c r="H174" t="n">
        <v>24</v>
      </c>
    </row>
    <row r="175">
      <c r="A175" t="inlineStr">
        <is>
          <t>G463 Assembly</t>
        </is>
      </c>
      <c r="B175" t="inlineStr">
        <is>
          <t>N</t>
        </is>
      </c>
      <c r="C175" t="inlineStr">
        <is>
          <t>Horbunova Svitlana</t>
        </is>
      </c>
      <c r="D175" t="inlineStr">
        <is>
          <t>Antisqueek</t>
        </is>
      </c>
      <c r="E175" t="inlineStr">
        <is>
          <t>22:00 - 06:00</t>
        </is>
      </c>
      <c r="F175" t="inlineStr">
        <is>
          <t>CW_43_G463_aktual.xlsx</t>
        </is>
      </c>
      <c r="G175" t="inlineStr">
        <is>
          <t>CW 24 2024</t>
        </is>
      </c>
      <c r="H175" t="n">
        <v>24</v>
      </c>
    </row>
    <row r="176">
      <c r="A176" t="inlineStr">
        <is>
          <t>G463 Assembly</t>
        </is>
      </c>
      <c r="B176" t="inlineStr">
        <is>
          <t>N</t>
        </is>
      </c>
      <c r="C176" t="inlineStr">
        <is>
          <t>Marcela Cepelakova</t>
        </is>
      </c>
      <c r="D176" t="inlineStr">
        <is>
          <t>Antisqueek</t>
        </is>
      </c>
      <c r="E176" t="inlineStr">
        <is>
          <t>22:00 - 06:00</t>
        </is>
      </c>
      <c r="F176" t="inlineStr">
        <is>
          <t>CW_43_G463_aktual.xlsx</t>
        </is>
      </c>
      <c r="G176" t="inlineStr">
        <is>
          <t>CW 24 2024</t>
        </is>
      </c>
      <c r="H176" t="n">
        <v>24</v>
      </c>
    </row>
    <row r="177">
      <c r="A177" t="inlineStr">
        <is>
          <t>G463 Assembly</t>
        </is>
      </c>
      <c r="B177" t="inlineStr">
        <is>
          <t>R</t>
        </is>
      </c>
      <c r="C177" t="inlineStr">
        <is>
          <t>Ihor Kotsiulym</t>
        </is>
      </c>
      <c r="D177" t="inlineStr">
        <is>
          <t>3Con obshluha stroje</t>
        </is>
      </c>
      <c r="E177" t="inlineStr">
        <is>
          <t>06:00 - 14:00</t>
        </is>
      </c>
      <c r="F177" t="inlineStr">
        <is>
          <t>CW_43_G463_aktual.xlsx</t>
        </is>
      </c>
      <c r="G177" t="inlineStr">
        <is>
          <t>CW 24 2024</t>
        </is>
      </c>
      <c r="H177" t="n">
        <v>27</v>
      </c>
    </row>
    <row r="178">
      <c r="A178" t="inlineStr">
        <is>
          <t>G463 Assembly</t>
        </is>
      </c>
      <c r="B178" t="inlineStr">
        <is>
          <t>O</t>
        </is>
      </c>
      <c r="C178" t="inlineStr">
        <is>
          <t>Dordevic Marjan</t>
        </is>
      </c>
      <c r="D178" t="inlineStr">
        <is>
          <t>3Con obshluha stroje</t>
        </is>
      </c>
      <c r="E178" t="inlineStr">
        <is>
          <t>14:00 - 18:00</t>
        </is>
      </c>
      <c r="F178" t="inlineStr">
        <is>
          <t>CW_43_G463_aktual.xlsx</t>
        </is>
      </c>
      <c r="G178" t="inlineStr">
        <is>
          <t>CW 24 2024</t>
        </is>
      </c>
      <c r="H178" t="n">
        <v>27</v>
      </c>
    </row>
    <row r="179">
      <c r="A179" t="inlineStr">
        <is>
          <t>G463 Assembly</t>
        </is>
      </c>
      <c r="B179" t="inlineStr">
        <is>
          <t>R</t>
        </is>
      </c>
      <c r="C179" t="inlineStr">
        <is>
          <t>Vdovyn Natalia</t>
        </is>
      </c>
      <c r="D179" t="inlineStr">
        <is>
          <t>3CON</t>
        </is>
      </c>
      <c r="E179" t="inlineStr">
        <is>
          <t>06:00 - 14:00</t>
        </is>
      </c>
      <c r="F179" t="inlineStr">
        <is>
          <t>CW_43_G463_aktual.xlsx</t>
        </is>
      </c>
      <c r="G179" t="inlineStr">
        <is>
          <t>CW 24 2024</t>
        </is>
      </c>
      <c r="H179" t="n">
        <v>28</v>
      </c>
    </row>
    <row r="180">
      <c r="A180" t="inlineStr">
        <is>
          <t>G463 Assembly</t>
        </is>
      </c>
      <c r="B180" t="inlineStr">
        <is>
          <t>O</t>
        </is>
      </c>
      <c r="C180" t="inlineStr">
        <is>
          <t>Izhyk Stepaniia</t>
        </is>
      </c>
      <c r="D180" t="inlineStr">
        <is>
          <t>3Con</t>
        </is>
      </c>
      <c r="E180" t="inlineStr">
        <is>
          <t>14:00 - 18:00</t>
        </is>
      </c>
      <c r="F180" t="inlineStr">
        <is>
          <t>CW_43_G463_aktual.xlsx</t>
        </is>
      </c>
      <c r="G180" t="inlineStr">
        <is>
          <t>CW 24 2024</t>
        </is>
      </c>
      <c r="H180" t="n">
        <v>28</v>
      </c>
    </row>
    <row r="181">
      <c r="A181" t="inlineStr">
        <is>
          <t>G463 Assembly</t>
        </is>
      </c>
      <c r="B181" t="inlineStr">
        <is>
          <t>R</t>
        </is>
      </c>
      <c r="C181" t="inlineStr">
        <is>
          <t>Drahobetska Alla</t>
        </is>
      </c>
      <c r="D181" t="inlineStr">
        <is>
          <t>3CON</t>
        </is>
      </c>
      <c r="E181" t="inlineStr">
        <is>
          <t>06:00 - 14:00</t>
        </is>
      </c>
      <c r="F181" t="inlineStr">
        <is>
          <t>CW_43_G463_aktual.xlsx</t>
        </is>
      </c>
      <c r="G181" t="inlineStr">
        <is>
          <t>CW 24 2024</t>
        </is>
      </c>
      <c r="H181" t="n">
        <v>29</v>
      </c>
    </row>
    <row r="182">
      <c r="A182" t="inlineStr">
        <is>
          <t>G463 Assembly</t>
        </is>
      </c>
      <c r="B182" t="inlineStr">
        <is>
          <t>O</t>
        </is>
      </c>
      <c r="C182" t="inlineStr">
        <is>
          <t>Novikova Iryna</t>
        </is>
      </c>
      <c r="D182" t="inlineStr">
        <is>
          <t>3Con</t>
        </is>
      </c>
      <c r="E182" t="inlineStr">
        <is>
          <t>14:00 - 18:00</t>
        </is>
      </c>
      <c r="F182" t="inlineStr">
        <is>
          <t>CW_43_G463_aktual.xlsx</t>
        </is>
      </c>
      <c r="G182" t="inlineStr">
        <is>
          <t>CW 24 2024</t>
        </is>
      </c>
      <c r="H182" t="n">
        <v>29</v>
      </c>
    </row>
    <row r="183">
      <c r="A183" t="inlineStr">
        <is>
          <t>GB/DP</t>
        </is>
      </c>
      <c r="B183" t="inlineStr">
        <is>
          <t>R</t>
        </is>
      </c>
      <c r="C183" t="inlineStr">
        <is>
          <t>Varga Erika</t>
        </is>
      </c>
      <c r="D183" t="inlineStr">
        <is>
          <t>Gumičky</t>
        </is>
      </c>
      <c r="E183" t="inlineStr">
        <is>
          <t>06:00 - 14:00</t>
        </is>
      </c>
      <c r="F183" t="inlineStr">
        <is>
          <t>CW_43GBDP1.xlsx</t>
        </is>
      </c>
      <c r="G183" t="inlineStr">
        <is>
          <t>CW 24 2024</t>
        </is>
      </c>
      <c r="H183" t="n">
        <v>15</v>
      </c>
    </row>
    <row r="184">
      <c r="A184" t="inlineStr">
        <is>
          <t>GB/DP</t>
        </is>
      </c>
      <c r="B184" t="inlineStr">
        <is>
          <t>O</t>
        </is>
      </c>
      <c r="C184" t="inlineStr">
        <is>
          <t>Tejfel Dina</t>
        </is>
      </c>
      <c r="D184" t="inlineStr">
        <is>
          <t>Gumičky/Předmontáž OV64</t>
        </is>
      </c>
      <c r="E184" t="inlineStr">
        <is>
          <t>14:00 - 22:00</t>
        </is>
      </c>
      <c r="F184" t="inlineStr">
        <is>
          <t>CW_43GBDP1.xlsx</t>
        </is>
      </c>
      <c r="G184" t="inlineStr">
        <is>
          <t>CW 24 2024</t>
        </is>
      </c>
      <c r="H184" t="n">
        <v>15</v>
      </c>
    </row>
    <row r="185">
      <c r="A185" t="inlineStr">
        <is>
          <t>GB/DP</t>
        </is>
      </c>
      <c r="B185" t="inlineStr">
        <is>
          <t>R</t>
        </is>
      </c>
      <c r="C185" t="inlineStr">
        <is>
          <t>Gurung Rojina</t>
        </is>
      </c>
      <c r="D185" t="inlineStr">
        <is>
          <t>Předmontáž W247</t>
        </is>
      </c>
      <c r="E185" t="inlineStr">
        <is>
          <t>06:00 - 18:00</t>
        </is>
      </c>
      <c r="F185" t="inlineStr">
        <is>
          <t>CW_43GBDP1.xlsx</t>
        </is>
      </c>
      <c r="G185" t="inlineStr">
        <is>
          <t>CW 24 2024</t>
        </is>
      </c>
      <c r="H185" t="n">
        <v>16</v>
      </c>
    </row>
    <row r="186">
      <c r="A186" t="inlineStr">
        <is>
          <t>GB/DP</t>
        </is>
      </c>
      <c r="B186" t="inlineStr">
        <is>
          <t>O</t>
        </is>
      </c>
      <c r="C186" t="inlineStr">
        <is>
          <t>Sidielnyk Liudmyla</t>
        </is>
      </c>
      <c r="D186" t="inlineStr">
        <is>
          <t>Předmontáž W247/OV64</t>
        </is>
      </c>
      <c r="E186" t="inlineStr">
        <is>
          <t>14:00 - 22:00</t>
        </is>
      </c>
      <c r="F186" t="inlineStr">
        <is>
          <t>CW_43GBDP1.xlsx</t>
        </is>
      </c>
      <c r="G186" t="inlineStr">
        <is>
          <t>CW 24 2024</t>
        </is>
      </c>
      <c r="H186" t="n">
        <v>16</v>
      </c>
    </row>
    <row r="187">
      <c r="A187" t="inlineStr">
        <is>
          <t>GB/DP</t>
        </is>
      </c>
      <c r="B187" t="inlineStr">
        <is>
          <t>R</t>
        </is>
      </c>
      <c r="C187" t="inlineStr">
        <is>
          <t>Gurung Samjhana</t>
        </is>
      </c>
      <c r="D187" t="inlineStr">
        <is>
          <t>Svářečka W247</t>
        </is>
      </c>
      <c r="E187" t="inlineStr">
        <is>
          <t>06:00 - 14:00</t>
        </is>
      </c>
      <c r="F187" t="inlineStr">
        <is>
          <t>CW_43GBDP1.xlsx</t>
        </is>
      </c>
      <c r="G187" t="inlineStr">
        <is>
          <t>CW 24 2024</t>
        </is>
      </c>
      <c r="H187" t="n">
        <v>17</v>
      </c>
    </row>
    <row r="188">
      <c r="A188" t="inlineStr">
        <is>
          <t>GB/DP</t>
        </is>
      </c>
      <c r="B188" t="inlineStr">
        <is>
          <t>O</t>
        </is>
      </c>
      <c r="C188" t="inlineStr">
        <is>
          <t>Pešinová Věra</t>
        </is>
      </c>
      <c r="D188" t="inlineStr">
        <is>
          <t>Svářečka W247/OV64</t>
        </is>
      </c>
      <c r="E188" t="inlineStr">
        <is>
          <t>14:00 - 22:00</t>
        </is>
      </c>
      <c r="F188" t="inlineStr">
        <is>
          <t>CW_43GBDP1.xlsx</t>
        </is>
      </c>
      <c r="G188" t="inlineStr">
        <is>
          <t>CW 24 2024</t>
        </is>
      </c>
      <c r="H188" t="n">
        <v>17</v>
      </c>
    </row>
    <row r="189">
      <c r="A189" t="inlineStr">
        <is>
          <t>GB/DP</t>
        </is>
      </c>
      <c r="B189" t="inlineStr">
        <is>
          <t>R</t>
        </is>
      </c>
      <c r="C189" t="inlineStr">
        <is>
          <t>Stasiuk Lesia</t>
        </is>
      </c>
      <c r="D189" t="inlineStr">
        <is>
          <t>Finálka W247/Rework</t>
        </is>
      </c>
      <c r="E189" t="inlineStr">
        <is>
          <t>06:00 - 14:00</t>
        </is>
      </c>
      <c r="F189" t="inlineStr">
        <is>
          <t>CW_43GBDP1.xlsx</t>
        </is>
      </c>
      <c r="G189" t="inlineStr">
        <is>
          <t>CW 24 2024</t>
        </is>
      </c>
      <c r="H189" t="n">
        <v>18</v>
      </c>
    </row>
    <row r="190">
      <c r="A190" t="inlineStr">
        <is>
          <t>GB/DP</t>
        </is>
      </c>
      <c r="B190" t="inlineStr">
        <is>
          <t>O</t>
        </is>
      </c>
      <c r="C190" t="inlineStr">
        <is>
          <t>Pucová Ladislava</t>
        </is>
      </c>
      <c r="D190" t="inlineStr">
        <is>
          <t>Finálka W247/OV64</t>
        </is>
      </c>
      <c r="E190" t="inlineStr">
        <is>
          <t>14:00 - 22:00</t>
        </is>
      </c>
      <c r="F190" t="inlineStr">
        <is>
          <t>CW_43GBDP1.xlsx</t>
        </is>
      </c>
      <c r="G190" t="inlineStr">
        <is>
          <t>CW 24 2024</t>
        </is>
      </c>
      <c r="H190" t="n">
        <v>18</v>
      </c>
    </row>
    <row r="191">
      <c r="A191" t="inlineStr">
        <is>
          <t>GB/DP</t>
        </is>
      </c>
      <c r="B191" t="inlineStr">
        <is>
          <t>R</t>
        </is>
      </c>
      <c r="C191" t="inlineStr">
        <is>
          <t>Strilkovska Viktoriia</t>
        </is>
      </c>
      <c r="D191" t="inlineStr">
        <is>
          <t>Předmontáž 177/OV64</t>
        </is>
      </c>
      <c r="E191" t="inlineStr">
        <is>
          <t>06:00 - 14:00</t>
        </is>
      </c>
      <c r="F191" t="inlineStr">
        <is>
          <t>CW_43GBDP1.xlsx</t>
        </is>
      </c>
      <c r="G191" t="inlineStr">
        <is>
          <t>CW 24 2024</t>
        </is>
      </c>
      <c r="H191" t="n">
        <v>19</v>
      </c>
    </row>
    <row r="192">
      <c r="A192" t="inlineStr">
        <is>
          <t>GB/DP</t>
        </is>
      </c>
      <c r="B192" t="inlineStr">
        <is>
          <t>O</t>
        </is>
      </c>
      <c r="C192" t="inlineStr">
        <is>
          <t>Ohnieva Svitlana</t>
        </is>
      </c>
      <c r="D192" t="inlineStr">
        <is>
          <t>Housung</t>
        </is>
      </c>
      <c r="E192" t="inlineStr">
        <is>
          <t>14:00 - 22:00</t>
        </is>
      </c>
      <c r="F192" t="inlineStr">
        <is>
          <t>CW_43GBDP1.xlsx</t>
        </is>
      </c>
      <c r="G192" t="inlineStr">
        <is>
          <t>CW 24 2024</t>
        </is>
      </c>
      <c r="H192" t="n">
        <v>19</v>
      </c>
    </row>
    <row r="193">
      <c r="A193" t="inlineStr">
        <is>
          <t>GB/DP</t>
        </is>
      </c>
      <c r="B193" t="inlineStr">
        <is>
          <t>R</t>
        </is>
      </c>
      <c r="C193" t="inlineStr">
        <is>
          <t>Radkevč Inna</t>
        </is>
      </c>
      <c r="D193" t="inlineStr">
        <is>
          <t>Předmontáž OV64 /Housing</t>
        </is>
      </c>
      <c r="E193" t="inlineStr">
        <is>
          <t>06:00 - 14:00</t>
        </is>
      </c>
      <c r="F193" t="inlineStr">
        <is>
          <t>CW_43GBDP1.xlsx</t>
        </is>
      </c>
      <c r="G193" t="inlineStr">
        <is>
          <t>CW 24 2024</t>
        </is>
      </c>
      <c r="H193" t="n">
        <v>20</v>
      </c>
    </row>
    <row r="194">
      <c r="A194" t="inlineStr">
        <is>
          <t>GB/DP</t>
        </is>
      </c>
      <c r="B194" t="inlineStr">
        <is>
          <t>R</t>
        </is>
      </c>
      <c r="C194" t="inlineStr">
        <is>
          <t>Varga Katalin</t>
        </is>
      </c>
      <c r="D194" t="inlineStr">
        <is>
          <t>Svářečka W247/OV64</t>
        </is>
      </c>
      <c r="E194" t="inlineStr">
        <is>
          <t>06:00 - 14:00</t>
        </is>
      </c>
      <c r="F194" t="inlineStr">
        <is>
          <t>CW_43GBDP1.xlsx</t>
        </is>
      </c>
      <c r="G194" t="inlineStr">
        <is>
          <t>CW 24 2024</t>
        </is>
      </c>
      <c r="H194" t="n">
        <v>21</v>
      </c>
    </row>
    <row r="195">
      <c r="A195" t="inlineStr">
        <is>
          <t>GB/DP</t>
        </is>
      </c>
      <c r="B195" t="inlineStr">
        <is>
          <t>R</t>
        </is>
      </c>
      <c r="C195" t="inlineStr">
        <is>
          <t>Bondarenko Inna</t>
        </is>
      </c>
      <c r="D195" t="inlineStr">
        <is>
          <t>Finálka W247/OV64</t>
        </is>
      </c>
      <c r="E195" t="inlineStr">
        <is>
          <t>06:00 - 14:00</t>
        </is>
      </c>
      <c r="F195" t="inlineStr">
        <is>
          <t>CW_43GBDP1.xlsx</t>
        </is>
      </c>
      <c r="G195" t="inlineStr">
        <is>
          <t>CW 24 2024</t>
        </is>
      </c>
      <c r="H195" t="n">
        <v>22</v>
      </c>
    </row>
    <row r="196">
      <c r="A196" t="inlineStr">
        <is>
          <t>GB/DP</t>
        </is>
      </c>
      <c r="B196" t="inlineStr">
        <is>
          <t>R</t>
        </is>
      </c>
      <c r="C196" t="inlineStr">
        <is>
          <t>Bencze Hajnalka</t>
        </is>
      </c>
      <c r="D196" t="inlineStr">
        <is>
          <t>Housing</t>
        </is>
      </c>
      <c r="E196" t="inlineStr">
        <is>
          <t>06:00 - 18:00</t>
        </is>
      </c>
      <c r="F196" t="inlineStr">
        <is>
          <t>CW_43GBDP1.xlsx</t>
        </is>
      </c>
      <c r="G196" t="inlineStr">
        <is>
          <t>CW 24 2024</t>
        </is>
      </c>
      <c r="H196" t="n">
        <v>23</v>
      </c>
    </row>
    <row r="197">
      <c r="A197" t="inlineStr">
        <is>
          <t>GB/DP</t>
        </is>
      </c>
      <c r="B197" t="inlineStr">
        <is>
          <t>R</t>
        </is>
      </c>
      <c r="C197" t="inlineStr">
        <is>
          <t>Yakymenko Mariia</t>
        </is>
      </c>
      <c r="D197" t="inlineStr">
        <is>
          <t>Rework</t>
        </is>
      </c>
      <c r="E197" t="inlineStr">
        <is>
          <t>06:00 - 14:00</t>
        </is>
      </c>
      <c r="F197" t="inlineStr">
        <is>
          <t>CW_43GBDP1.xlsx</t>
        </is>
      </c>
      <c r="G197" t="inlineStr">
        <is>
          <t>CW 24 2024</t>
        </is>
      </c>
      <c r="H197" t="n">
        <v>24</v>
      </c>
    </row>
    <row r="198">
      <c r="A198" t="inlineStr">
        <is>
          <t>Foaming K2</t>
        </is>
      </c>
      <c r="B198" t="inlineStr">
        <is>
          <t>R</t>
        </is>
      </c>
      <c r="C198" t="inlineStr">
        <is>
          <t>Randelovič N</t>
        </is>
      </c>
      <c r="D198" t="inlineStr">
        <is>
          <t>Pec</t>
        </is>
      </c>
      <c r="E198" t="inlineStr">
        <is>
          <t>6:00 - 14:00</t>
        </is>
      </c>
      <c r="F198" t="inlineStr">
        <is>
          <t>CW_43_Foam___.xlsx</t>
        </is>
      </c>
      <c r="G198" t="inlineStr">
        <is>
          <t>Vzor</t>
        </is>
      </c>
      <c r="H198" t="n">
        <v>15</v>
      </c>
    </row>
    <row r="199">
      <c r="A199" t="inlineStr">
        <is>
          <t>Foaming K2</t>
        </is>
      </c>
      <c r="B199" t="inlineStr">
        <is>
          <t>O</t>
        </is>
      </c>
      <c r="C199" t="inlineStr">
        <is>
          <t>Khatri K</t>
        </is>
      </c>
      <c r="D199" t="inlineStr">
        <is>
          <t>Pec</t>
        </is>
      </c>
      <c r="E199" t="inlineStr">
        <is>
          <t>14:00 - 22:00</t>
        </is>
      </c>
      <c r="F199" t="inlineStr">
        <is>
          <t>CW_43_Foam___.xlsx</t>
        </is>
      </c>
      <c r="G199" t="inlineStr">
        <is>
          <t>Vzor</t>
        </is>
      </c>
      <c r="H199" t="n">
        <v>15</v>
      </c>
    </row>
    <row r="200">
      <c r="A200" t="inlineStr">
        <is>
          <t>Foaming K2</t>
        </is>
      </c>
      <c r="B200" t="inlineStr">
        <is>
          <t>N</t>
        </is>
      </c>
      <c r="C200" t="inlineStr">
        <is>
          <t>Hunievych I</t>
        </is>
      </c>
      <c r="D200" t="inlineStr">
        <is>
          <t>Pec</t>
        </is>
      </c>
      <c r="E200" t="inlineStr">
        <is>
          <t>18:00 - 6:00</t>
        </is>
      </c>
      <c r="F200" t="inlineStr">
        <is>
          <t>CW_43_Foam___.xlsx</t>
        </is>
      </c>
      <c r="G200" t="inlineStr">
        <is>
          <t>Vzor</t>
        </is>
      </c>
      <c r="H200" t="n">
        <v>15</v>
      </c>
    </row>
    <row r="201">
      <c r="A201" t="inlineStr">
        <is>
          <t>Foaming K2</t>
        </is>
      </c>
      <c r="B201" t="inlineStr">
        <is>
          <t>R</t>
        </is>
      </c>
      <c r="C201" t="inlineStr">
        <is>
          <t>Pisna V</t>
        </is>
      </c>
      <c r="D201" t="inlineStr">
        <is>
          <t>Sequence</t>
        </is>
      </c>
      <c r="E201" t="inlineStr">
        <is>
          <t>6:00 - 18:00</t>
        </is>
      </c>
      <c r="F201" t="inlineStr">
        <is>
          <t>CW_43_Foam___.xlsx</t>
        </is>
      </c>
      <c r="G201" t="inlineStr">
        <is>
          <t>Vzor</t>
        </is>
      </c>
      <c r="H201" t="n">
        <v>16</v>
      </c>
    </row>
    <row r="202">
      <c r="A202" t="inlineStr">
        <is>
          <t>Foaming K2</t>
        </is>
      </c>
      <c r="B202" t="inlineStr">
        <is>
          <t>N</t>
        </is>
      </c>
      <c r="C202" t="inlineStr">
        <is>
          <t>Viskrivenko A</t>
        </is>
      </c>
      <c r="D202" t="inlineStr">
        <is>
          <t>Sequence</t>
        </is>
      </c>
      <c r="E202" t="inlineStr">
        <is>
          <t>18:00 - 6:00</t>
        </is>
      </c>
      <c r="F202" t="inlineStr">
        <is>
          <t>CW_43_Foam___.xlsx</t>
        </is>
      </c>
      <c r="G202" t="inlineStr">
        <is>
          <t>Vzor</t>
        </is>
      </c>
      <c r="H202" t="n">
        <v>16</v>
      </c>
    </row>
    <row r="203">
      <c r="A203" t="inlineStr">
        <is>
          <t>Foaming K2</t>
        </is>
      </c>
      <c r="B203" t="inlineStr">
        <is>
          <t>R</t>
        </is>
      </c>
      <c r="C203" t="inlineStr">
        <is>
          <t>Sestrevatovskyi D</t>
        </is>
      </c>
      <c r="D203" t="inlineStr">
        <is>
          <t>Manipulant</t>
        </is>
      </c>
      <c r="E203" t="inlineStr">
        <is>
          <t>6:00 - 14:00</t>
        </is>
      </c>
      <c r="F203" t="inlineStr">
        <is>
          <t>CW_43_Foam___.xlsx</t>
        </is>
      </c>
      <c r="G203" t="inlineStr">
        <is>
          <t>Vzor</t>
        </is>
      </c>
      <c r="H203" t="n">
        <v>17</v>
      </c>
    </row>
    <row r="204">
      <c r="A204" t="inlineStr">
        <is>
          <t>Foaming K2</t>
        </is>
      </c>
      <c r="B204" t="inlineStr">
        <is>
          <t>N</t>
        </is>
      </c>
      <c r="C204" t="inlineStr">
        <is>
          <t>Matei A</t>
        </is>
      </c>
      <c r="D204" t="inlineStr">
        <is>
          <t>Manipulant</t>
        </is>
      </c>
      <c r="E204" t="inlineStr">
        <is>
          <t>22:00 - 6:00</t>
        </is>
      </c>
      <c r="F204" t="inlineStr">
        <is>
          <t>CW_43_Foam___.xlsx</t>
        </is>
      </c>
      <c r="G204" t="inlineStr">
        <is>
          <t>Vzor</t>
        </is>
      </c>
      <c r="H204" t="n">
        <v>17</v>
      </c>
    </row>
    <row r="205">
      <c r="A205" t="inlineStr">
        <is>
          <t>Foaming K2</t>
        </is>
      </c>
      <c r="B205" t="inlineStr">
        <is>
          <t>R</t>
        </is>
      </c>
      <c r="C205" t="inlineStr">
        <is>
          <t>Jindova R</t>
        </is>
      </c>
      <c r="D205" t="inlineStr">
        <is>
          <t>Rework</t>
        </is>
      </c>
      <c r="E205" t="inlineStr">
        <is>
          <t>6:00 - 14:00</t>
        </is>
      </c>
      <c r="F205" t="inlineStr">
        <is>
          <t>CW_43_Foam___.xlsx</t>
        </is>
      </c>
      <c r="G205" t="inlineStr">
        <is>
          <t>Vzor</t>
        </is>
      </c>
      <c r="H205" t="n">
        <v>18</v>
      </c>
    </row>
    <row r="206">
      <c r="A206" t="inlineStr">
        <is>
          <t>Foaming K2</t>
        </is>
      </c>
      <c r="B206" t="inlineStr">
        <is>
          <t>O</t>
        </is>
      </c>
      <c r="C206" t="inlineStr">
        <is>
          <t>Bogdanova M</t>
        </is>
      </c>
      <c r="D206" t="inlineStr">
        <is>
          <t>Rework</t>
        </is>
      </c>
      <c r="E206" t="inlineStr">
        <is>
          <t>14:00 - 22:00</t>
        </is>
      </c>
      <c r="F206" t="inlineStr">
        <is>
          <t>CW_43_Foam___.xlsx</t>
        </is>
      </c>
      <c r="G206" t="inlineStr">
        <is>
          <t>Vzor</t>
        </is>
      </c>
      <c r="H206" t="n">
        <v>18</v>
      </c>
    </row>
    <row r="207">
      <c r="A207" t="inlineStr">
        <is>
          <t>Foaming K2</t>
        </is>
      </c>
      <c r="B207" t="inlineStr">
        <is>
          <t>N</t>
        </is>
      </c>
      <c r="C207" t="inlineStr">
        <is>
          <t>Nakhaba T</t>
        </is>
      </c>
      <c r="D207" t="inlineStr">
        <is>
          <t>Rework</t>
        </is>
      </c>
      <c r="E207" t="inlineStr">
        <is>
          <t>22:00 - 6:00</t>
        </is>
      </c>
      <c r="F207" t="inlineStr">
        <is>
          <t>CW_43_Foam___.xlsx</t>
        </is>
      </c>
      <c r="G207" t="inlineStr">
        <is>
          <t>Vzor</t>
        </is>
      </c>
      <c r="H207" t="n">
        <v>18</v>
      </c>
    </row>
    <row r="208">
      <c r="A208" t="inlineStr">
        <is>
          <t>Foaming K2</t>
        </is>
      </c>
      <c r="B208" t="inlineStr">
        <is>
          <t>R</t>
        </is>
      </c>
      <c r="C208" t="inlineStr">
        <is>
          <t>Mudarisova A</t>
        </is>
      </c>
      <c r="D208" t="inlineStr">
        <is>
          <t>Karusel</t>
        </is>
      </c>
      <c r="E208" t="inlineStr">
        <is>
          <t>6:00 - 14:00</t>
        </is>
      </c>
      <c r="F208" t="inlineStr">
        <is>
          <t>CW_43_Foam___.xlsx</t>
        </is>
      </c>
      <c r="G208" t="inlineStr">
        <is>
          <t>Vzor</t>
        </is>
      </c>
      <c r="H208" t="n">
        <v>19</v>
      </c>
    </row>
    <row r="209">
      <c r="A209" t="inlineStr">
        <is>
          <t>Foaming K2</t>
        </is>
      </c>
      <c r="B209" t="inlineStr">
        <is>
          <t>O</t>
        </is>
      </c>
      <c r="C209" t="inlineStr">
        <is>
          <t>Hryhorchuk I</t>
        </is>
      </c>
      <c r="D209" t="inlineStr">
        <is>
          <t>Karusel</t>
        </is>
      </c>
      <c r="E209" t="inlineStr">
        <is>
          <t>14:00 - 22:00</t>
        </is>
      </c>
      <c r="F209" t="inlineStr">
        <is>
          <t>CW_43_Foam___.xlsx</t>
        </is>
      </c>
      <c r="G209" t="inlineStr">
        <is>
          <t>Vzor</t>
        </is>
      </c>
      <c r="H209" t="n">
        <v>19</v>
      </c>
    </row>
    <row r="210">
      <c r="A210" t="inlineStr">
        <is>
          <t>Foaming K2</t>
        </is>
      </c>
      <c r="B210" t="inlineStr">
        <is>
          <t>N</t>
        </is>
      </c>
      <c r="C210" t="inlineStr">
        <is>
          <t>Budai O</t>
        </is>
      </c>
      <c r="D210" t="inlineStr">
        <is>
          <t>Karusel</t>
        </is>
      </c>
      <c r="E210" t="inlineStr">
        <is>
          <t>22:00 - 6:00</t>
        </is>
      </c>
      <c r="F210" t="inlineStr">
        <is>
          <t>CW_43_Foam___.xlsx</t>
        </is>
      </c>
      <c r="G210" t="inlineStr">
        <is>
          <t>Vzor</t>
        </is>
      </c>
      <c r="H210" t="n">
        <v>19</v>
      </c>
    </row>
    <row r="211">
      <c r="A211" t="inlineStr">
        <is>
          <t>Foaming K2</t>
        </is>
      </c>
      <c r="B211" t="inlineStr">
        <is>
          <t>R</t>
        </is>
      </c>
      <c r="C211" t="inlineStr">
        <is>
          <t>Mudarisova O</t>
        </is>
      </c>
      <c r="D211" t="inlineStr">
        <is>
          <t>Karusel</t>
        </is>
      </c>
      <c r="E211" t="inlineStr">
        <is>
          <t>6:00 - 14:00</t>
        </is>
      </c>
      <c r="F211" t="inlineStr">
        <is>
          <t>CW_43_Foam___.xlsx</t>
        </is>
      </c>
      <c r="G211" t="inlineStr">
        <is>
          <t>Vzor</t>
        </is>
      </c>
      <c r="H211" t="n">
        <v>20</v>
      </c>
    </row>
    <row r="212">
      <c r="A212" t="inlineStr">
        <is>
          <t>Foaming K2</t>
        </is>
      </c>
      <c r="B212" t="inlineStr">
        <is>
          <t>O</t>
        </is>
      </c>
      <c r="C212" t="inlineStr">
        <is>
          <t>Lunina O</t>
        </is>
      </c>
      <c r="D212" t="inlineStr">
        <is>
          <t>Karusel</t>
        </is>
      </c>
      <c r="E212" t="inlineStr">
        <is>
          <t>14:00 - 22:00</t>
        </is>
      </c>
      <c r="F212" t="inlineStr">
        <is>
          <t>CW_43_Foam___.xlsx</t>
        </is>
      </c>
      <c r="G212" t="inlineStr">
        <is>
          <t>Vzor</t>
        </is>
      </c>
      <c r="H212" t="n">
        <v>20</v>
      </c>
    </row>
    <row r="213">
      <c r="A213" t="inlineStr">
        <is>
          <t>Foaming K2</t>
        </is>
      </c>
      <c r="B213" t="inlineStr">
        <is>
          <t>N</t>
        </is>
      </c>
      <c r="C213" t="inlineStr">
        <is>
          <t>Drahun B</t>
        </is>
      </c>
      <c r="D213" t="inlineStr">
        <is>
          <t>Karusel</t>
        </is>
      </c>
      <c r="E213" t="inlineStr">
        <is>
          <t>22:00 - 6:00</t>
        </is>
      </c>
      <c r="F213" t="inlineStr">
        <is>
          <t>CW_43_Foam___.xlsx</t>
        </is>
      </c>
      <c r="G213" t="inlineStr">
        <is>
          <t>Vzor</t>
        </is>
      </c>
      <c r="H213" t="n">
        <v>20</v>
      </c>
    </row>
    <row r="214">
      <c r="A214" t="inlineStr">
        <is>
          <t>Foaming K2</t>
        </is>
      </c>
      <c r="B214" t="inlineStr">
        <is>
          <t>R</t>
        </is>
      </c>
      <c r="C214" t="inlineStr">
        <is>
          <t>Mura A</t>
        </is>
      </c>
      <c r="D214" t="inlineStr">
        <is>
          <t>Karusel</t>
        </is>
      </c>
      <c r="E214" t="inlineStr">
        <is>
          <t>6:00 - 14:00</t>
        </is>
      </c>
      <c r="F214" t="inlineStr">
        <is>
          <t>CW_43_Foam___.xlsx</t>
        </is>
      </c>
      <c r="G214" t="inlineStr">
        <is>
          <t>Vzor</t>
        </is>
      </c>
      <c r="H214" t="n">
        <v>21</v>
      </c>
    </row>
    <row r="215">
      <c r="A215" t="inlineStr">
        <is>
          <t>Foaming K2</t>
        </is>
      </c>
      <c r="B215" t="inlineStr">
        <is>
          <t>O</t>
        </is>
      </c>
      <c r="C215" t="inlineStr">
        <is>
          <t>Burol O</t>
        </is>
      </c>
      <c r="D215" t="inlineStr">
        <is>
          <t>Karusel</t>
        </is>
      </c>
      <c r="E215" t="inlineStr">
        <is>
          <t>14:00 - 22:00</t>
        </is>
      </c>
      <c r="F215" t="inlineStr">
        <is>
          <t>CW_43_Foam___.xlsx</t>
        </is>
      </c>
      <c r="G215" t="inlineStr">
        <is>
          <t>Vzor</t>
        </is>
      </c>
      <c r="H215" t="n">
        <v>21</v>
      </c>
    </row>
    <row r="216">
      <c r="A216" t="inlineStr">
        <is>
          <t>Foaming K2</t>
        </is>
      </c>
      <c r="B216" t="inlineStr">
        <is>
          <t>N</t>
        </is>
      </c>
      <c r="C216" t="inlineStr">
        <is>
          <t>Varadi E</t>
        </is>
      </c>
      <c r="D216" t="inlineStr">
        <is>
          <t>Karusel</t>
        </is>
      </c>
      <c r="E216" t="inlineStr">
        <is>
          <t>22:00 - 6:00</t>
        </is>
      </c>
      <c r="F216" t="inlineStr">
        <is>
          <t>CW_43_Foam___.xlsx</t>
        </is>
      </c>
      <c r="G216" t="inlineStr">
        <is>
          <t>Vzor</t>
        </is>
      </c>
      <c r="H216" t="n">
        <v>21</v>
      </c>
    </row>
    <row r="217">
      <c r="A217" t="inlineStr">
        <is>
          <t>Foaming K2</t>
        </is>
      </c>
      <c r="B217" t="inlineStr">
        <is>
          <t>R</t>
        </is>
      </c>
      <c r="C217" t="inlineStr">
        <is>
          <t>Buda Z</t>
        </is>
      </c>
      <c r="D217" t="inlineStr">
        <is>
          <t>Karusel</t>
        </is>
      </c>
      <c r="E217" t="inlineStr">
        <is>
          <t>6:00 - 14:00</t>
        </is>
      </c>
      <c r="F217" t="inlineStr">
        <is>
          <t>CW_43_Foam___.xlsx</t>
        </is>
      </c>
      <c r="G217" t="inlineStr">
        <is>
          <t>Vzor</t>
        </is>
      </c>
      <c r="H217" t="n">
        <v>22</v>
      </c>
    </row>
    <row r="218">
      <c r="A218" t="inlineStr">
        <is>
          <t>Foaming K2</t>
        </is>
      </c>
      <c r="B218" t="inlineStr">
        <is>
          <t>O</t>
        </is>
      </c>
      <c r="C218" t="inlineStr">
        <is>
          <t>Datsenko M</t>
        </is>
      </c>
      <c r="D218" t="inlineStr">
        <is>
          <t>Karusel</t>
        </is>
      </c>
      <c r="E218" t="inlineStr">
        <is>
          <t>14:00 - 22:00</t>
        </is>
      </c>
      <c r="F218" t="inlineStr">
        <is>
          <t>CW_43_Foam___.xlsx</t>
        </is>
      </c>
      <c r="G218" t="inlineStr">
        <is>
          <t>Vzor</t>
        </is>
      </c>
      <c r="H218" t="n">
        <v>22</v>
      </c>
    </row>
    <row r="219">
      <c r="A219" t="inlineStr">
        <is>
          <t>Foaming K2</t>
        </is>
      </c>
      <c r="B219" t="inlineStr">
        <is>
          <t>N</t>
        </is>
      </c>
      <c r="C219" t="inlineStr">
        <is>
          <t>Kravchenko M</t>
        </is>
      </c>
      <c r="D219" t="inlineStr">
        <is>
          <t>Karusel</t>
        </is>
      </c>
      <c r="E219" t="inlineStr">
        <is>
          <t>22:00 - 6:00</t>
        </is>
      </c>
      <c r="F219" t="inlineStr">
        <is>
          <t>CW_43_Foam___.xlsx</t>
        </is>
      </c>
      <c r="G219" t="inlineStr">
        <is>
          <t>Vzor</t>
        </is>
      </c>
      <c r="H219" t="n">
        <v>22</v>
      </c>
    </row>
    <row r="220">
      <c r="A220" t="inlineStr">
        <is>
          <t>Foaming K2</t>
        </is>
      </c>
      <c r="B220" t="inlineStr">
        <is>
          <t>R</t>
        </is>
      </c>
      <c r="C220" t="inlineStr">
        <is>
          <t>Mudrakov V</t>
        </is>
      </c>
      <c r="D220" t="inlineStr">
        <is>
          <t>Karusel</t>
        </is>
      </c>
      <c r="E220" t="inlineStr">
        <is>
          <t>6:00 - 14:00</t>
        </is>
      </c>
      <c r="F220" t="inlineStr">
        <is>
          <t>CW_43_Foam___.xlsx</t>
        </is>
      </c>
      <c r="G220" t="inlineStr">
        <is>
          <t>Vzor</t>
        </is>
      </c>
      <c r="H220" t="n">
        <v>23</v>
      </c>
    </row>
    <row r="221">
      <c r="A221" t="inlineStr">
        <is>
          <t>Foaming K2</t>
        </is>
      </c>
      <c r="B221" t="inlineStr">
        <is>
          <t>O</t>
        </is>
      </c>
      <c r="C221" t="inlineStr">
        <is>
          <t>Kovalenko M</t>
        </is>
      </c>
      <c r="D221" t="inlineStr">
        <is>
          <t>Karusel</t>
        </is>
      </c>
      <c r="E221" t="inlineStr">
        <is>
          <t>14:00 - 22:00</t>
        </is>
      </c>
      <c r="F221" t="inlineStr">
        <is>
          <t>CW_43_Foam___.xlsx</t>
        </is>
      </c>
      <c r="G221" t="inlineStr">
        <is>
          <t>Vzor</t>
        </is>
      </c>
      <c r="H221" t="n">
        <v>23</v>
      </c>
    </row>
    <row r="222">
      <c r="A222" t="inlineStr">
        <is>
          <t>Foaming K2</t>
        </is>
      </c>
      <c r="B222" t="inlineStr">
        <is>
          <t>N</t>
        </is>
      </c>
      <c r="C222" t="inlineStr">
        <is>
          <t>Kravchenko V</t>
        </is>
      </c>
      <c r="D222" t="inlineStr">
        <is>
          <t>Karusel</t>
        </is>
      </c>
      <c r="E222" t="inlineStr">
        <is>
          <t>22:00 - 6:00</t>
        </is>
      </c>
      <c r="F222" t="inlineStr">
        <is>
          <t>CW_43_Foam___.xlsx</t>
        </is>
      </c>
      <c r="G222" t="inlineStr">
        <is>
          <t>Vzor</t>
        </is>
      </c>
      <c r="H222" t="n">
        <v>23</v>
      </c>
    </row>
    <row r="223">
      <c r="A223" t="inlineStr">
        <is>
          <t>Foam Scoring</t>
        </is>
      </c>
      <c r="B223" t="inlineStr">
        <is>
          <t>R</t>
        </is>
      </c>
      <c r="C223" t="inlineStr">
        <is>
          <t>Trompak E</t>
        </is>
      </c>
      <c r="D223" t="inlineStr">
        <is>
          <t>Scoring</t>
        </is>
      </c>
      <c r="E223" t="inlineStr">
        <is>
          <t>6:00 - 14:00</t>
        </is>
      </c>
      <c r="F223" t="inlineStr">
        <is>
          <t>CW_43_Foam___.xlsx</t>
        </is>
      </c>
      <c r="G223" t="inlineStr">
        <is>
          <t>Vzor</t>
        </is>
      </c>
      <c r="H223" t="n">
        <v>25</v>
      </c>
    </row>
    <row r="224">
      <c r="A224" t="inlineStr">
        <is>
          <t>Foam Scoring</t>
        </is>
      </c>
      <c r="B224" t="inlineStr">
        <is>
          <t>N</t>
        </is>
      </c>
      <c r="C224" t="inlineStr">
        <is>
          <t>Savynest O</t>
        </is>
      </c>
      <c r="D224" t="inlineStr">
        <is>
          <t>Scoring</t>
        </is>
      </c>
      <c r="E224" t="inlineStr">
        <is>
          <t>22:00 - 6:00</t>
        </is>
      </c>
      <c r="F224" t="inlineStr">
        <is>
          <t>CW_43_Foam___.xlsx</t>
        </is>
      </c>
      <c r="G224" t="inlineStr">
        <is>
          <t>Vzor</t>
        </is>
      </c>
      <c r="H224" t="n">
        <v>25</v>
      </c>
    </row>
    <row r="225">
      <c r="A225" t="inlineStr">
        <is>
          <t>Foam Scoring</t>
        </is>
      </c>
      <c r="B225" t="inlineStr">
        <is>
          <t>R</t>
        </is>
      </c>
      <c r="C225" t="inlineStr">
        <is>
          <t>Tolika O</t>
        </is>
      </c>
      <c r="D225" t="inlineStr">
        <is>
          <t>Scoring</t>
        </is>
      </c>
      <c r="E225" t="inlineStr">
        <is>
          <t>6:00 - 14:00</t>
        </is>
      </c>
      <c r="F225" t="inlineStr">
        <is>
          <t>CW_43_Foam___.xlsx</t>
        </is>
      </c>
      <c r="G225" t="inlineStr">
        <is>
          <t>Vzor</t>
        </is>
      </c>
      <c r="H225" t="n">
        <v>26</v>
      </c>
    </row>
    <row r="226">
      <c r="A226" t="inlineStr">
        <is>
          <t>Foam Scoring</t>
        </is>
      </c>
      <c r="B226" t="inlineStr">
        <is>
          <t>N</t>
        </is>
      </c>
      <c r="C226" t="inlineStr">
        <is>
          <t>Budai A</t>
        </is>
      </c>
      <c r="D226" t="inlineStr">
        <is>
          <t>Scoring</t>
        </is>
      </c>
      <c r="E226" t="inlineStr">
        <is>
          <t>22:00 - 6:00</t>
        </is>
      </c>
      <c r="F226" t="inlineStr">
        <is>
          <t>CW_43_Foam___.xlsx</t>
        </is>
      </c>
      <c r="G226" t="inlineStr">
        <is>
          <t>Vzor</t>
        </is>
      </c>
      <c r="H226" t="n">
        <v>26</v>
      </c>
    </row>
    <row r="227">
      <c r="A227" t="inlineStr">
        <is>
          <t>Foam Scoring</t>
        </is>
      </c>
      <c r="B227" t="inlineStr">
        <is>
          <t>R</t>
        </is>
      </c>
      <c r="C227" t="inlineStr">
        <is>
          <t>Pospech M</t>
        </is>
      </c>
      <c r="D227" t="inlineStr">
        <is>
          <t>Scoring</t>
        </is>
      </c>
      <c r="E227" t="inlineStr">
        <is>
          <t>6:00 - 14:00</t>
        </is>
      </c>
      <c r="F227" t="inlineStr">
        <is>
          <t>CW_43_Foam___.xlsx</t>
        </is>
      </c>
      <c r="G227" t="inlineStr">
        <is>
          <t>Vzor</t>
        </is>
      </c>
      <c r="H227" t="n">
        <v>27</v>
      </c>
    </row>
    <row r="228">
      <c r="A228" t="inlineStr">
        <is>
          <t>Foam Scoring</t>
        </is>
      </c>
      <c r="B228" t="inlineStr">
        <is>
          <t>N</t>
        </is>
      </c>
      <c r="C228" t="inlineStr">
        <is>
          <t>Bozhko T</t>
        </is>
      </c>
      <c r="D228" t="inlineStr">
        <is>
          <t>Scoring</t>
        </is>
      </c>
      <c r="E228" t="inlineStr">
        <is>
          <t>22:00 - 6:00</t>
        </is>
      </c>
      <c r="F228" t="inlineStr">
        <is>
          <t>CW_43_Foam___.xlsx</t>
        </is>
      </c>
      <c r="G228" t="inlineStr">
        <is>
          <t>Vzor</t>
        </is>
      </c>
      <c r="H228" t="n">
        <v>27</v>
      </c>
    </row>
    <row r="229">
      <c r="A229" t="inlineStr">
        <is>
          <t>Foaming K1</t>
        </is>
      </c>
      <c r="B229" t="inlineStr">
        <is>
          <t>R</t>
        </is>
      </c>
      <c r="C229" t="inlineStr">
        <is>
          <t>Thanet T</t>
        </is>
      </c>
      <c r="D229" t="inlineStr">
        <is>
          <t>Pec</t>
        </is>
      </c>
      <c r="E229" t="inlineStr">
        <is>
          <t>6:00 - 18:00</t>
        </is>
      </c>
      <c r="F229" t="inlineStr">
        <is>
          <t>CW_43_Foam___.xlsx</t>
        </is>
      </c>
      <c r="G229" t="inlineStr">
        <is>
          <t>Vzor</t>
        </is>
      </c>
      <c r="H229" t="n">
        <v>34</v>
      </c>
    </row>
    <row r="230">
      <c r="A230" t="inlineStr">
        <is>
          <t>Foaming K1</t>
        </is>
      </c>
      <c r="B230" t="inlineStr">
        <is>
          <t>R</t>
        </is>
      </c>
      <c r="C230" t="inlineStr">
        <is>
          <t>Racu G</t>
        </is>
      </c>
      <c r="D230" t="inlineStr">
        <is>
          <t>Manipulant</t>
        </is>
      </c>
      <c r="E230" t="inlineStr">
        <is>
          <t>6:00 - 18:00</t>
        </is>
      </c>
      <c r="F230" t="inlineStr">
        <is>
          <t>CW_43_Foam___.xlsx</t>
        </is>
      </c>
      <c r="G230" t="inlineStr">
        <is>
          <t>Vzor</t>
        </is>
      </c>
      <c r="H230" t="n">
        <v>35</v>
      </c>
    </row>
    <row r="231">
      <c r="A231" t="inlineStr">
        <is>
          <t>Foaming K1</t>
        </is>
      </c>
      <c r="B231" t="inlineStr">
        <is>
          <t>R</t>
        </is>
      </c>
      <c r="C231" t="inlineStr">
        <is>
          <t>Mukhopad Y</t>
        </is>
      </c>
      <c r="D231" t="inlineStr">
        <is>
          <t>Karusel</t>
        </is>
      </c>
      <c r="E231" t="inlineStr">
        <is>
          <t>6:00 - 18:00</t>
        </is>
      </c>
      <c r="F231" t="inlineStr">
        <is>
          <t>CW_43_Foam___.xlsx</t>
        </is>
      </c>
      <c r="G231" t="inlineStr">
        <is>
          <t>Vzor</t>
        </is>
      </c>
      <c r="H231" t="n">
        <v>36</v>
      </c>
    </row>
    <row r="232">
      <c r="A232" t="inlineStr">
        <is>
          <t>Foaming K1</t>
        </is>
      </c>
      <c r="B232" t="inlineStr">
        <is>
          <t>R</t>
        </is>
      </c>
      <c r="C232" t="inlineStr">
        <is>
          <t>Shpak V</t>
        </is>
      </c>
      <c r="D232" t="inlineStr">
        <is>
          <t>Karusel</t>
        </is>
      </c>
      <c r="E232" t="inlineStr">
        <is>
          <t>6:00 - 18:00</t>
        </is>
      </c>
      <c r="F232" t="inlineStr">
        <is>
          <t>CW_43_Foam___.xlsx</t>
        </is>
      </c>
      <c r="G232" t="inlineStr">
        <is>
          <t>Vzor</t>
        </is>
      </c>
      <c r="H232" t="n">
        <v>37</v>
      </c>
    </row>
    <row r="233">
      <c r="A233" t="inlineStr">
        <is>
          <t>Foaming K1</t>
        </is>
      </c>
      <c r="B233" t="inlineStr">
        <is>
          <t>R</t>
        </is>
      </c>
      <c r="C233" t="inlineStr">
        <is>
          <t>Savchuk A</t>
        </is>
      </c>
      <c r="D233" t="inlineStr">
        <is>
          <t>Karusel</t>
        </is>
      </c>
      <c r="E233" t="inlineStr">
        <is>
          <t>6:00 - 18:00</t>
        </is>
      </c>
      <c r="F233" t="inlineStr">
        <is>
          <t>CW_43_Foam___.xlsx</t>
        </is>
      </c>
      <c r="G233" t="inlineStr">
        <is>
          <t>Vzor</t>
        </is>
      </c>
      <c r="H233" t="n">
        <v>38</v>
      </c>
    </row>
    <row r="234">
      <c r="A234" t="inlineStr">
        <is>
          <t>Foaming K1</t>
        </is>
      </c>
      <c r="B234" t="inlineStr">
        <is>
          <t>R</t>
        </is>
      </c>
      <c r="C234" t="inlineStr">
        <is>
          <t>Tejfel I</t>
        </is>
      </c>
      <c r="D234" t="inlineStr">
        <is>
          <t>Karusel</t>
        </is>
      </c>
      <c r="E234" t="inlineStr">
        <is>
          <t>6:00 - 18:00</t>
        </is>
      </c>
      <c r="F234" t="inlineStr">
        <is>
          <t>CW_43_Foam___.xlsx</t>
        </is>
      </c>
      <c r="G234" t="inlineStr">
        <is>
          <t>Vzor</t>
        </is>
      </c>
      <c r="H234" t="n">
        <v>39</v>
      </c>
    </row>
    <row r="235">
      <c r="A235" t="inlineStr">
        <is>
          <t>Foaming K1</t>
        </is>
      </c>
      <c r="B235" t="inlineStr">
        <is>
          <t>R</t>
        </is>
      </c>
      <c r="C235" t="inlineStr">
        <is>
          <t>Cserkun J</t>
        </is>
      </c>
      <c r="D235" t="inlineStr">
        <is>
          <t>Karusel</t>
        </is>
      </c>
      <c r="E235" t="inlineStr">
        <is>
          <t>6:00 - 18:00</t>
        </is>
      </c>
      <c r="F235" t="inlineStr">
        <is>
          <t>CW_43_Foam___.xlsx</t>
        </is>
      </c>
      <c r="G235" t="inlineStr">
        <is>
          <t>Vzor</t>
        </is>
      </c>
      <c r="H235" t="n">
        <v>40</v>
      </c>
    </row>
    <row r="236">
      <c r="A236" t="inlineStr">
        <is>
          <t>G463 Prefix</t>
        </is>
      </c>
      <c r="B236" t="inlineStr">
        <is>
          <t>R-A</t>
        </is>
      </c>
      <c r="C236" t="inlineStr">
        <is>
          <t>Kovalenko Anzela</t>
        </is>
      </c>
      <c r="D236" t="inlineStr">
        <is>
          <t>SPACER</t>
        </is>
      </c>
      <c r="E236" t="inlineStr">
        <is>
          <t>06-18</t>
        </is>
      </c>
      <c r="F236" t="inlineStr">
        <is>
          <t>CW_43_Prefix_akrual.xlsx</t>
        </is>
      </c>
      <c r="G236" t="inlineStr">
        <is>
          <t>WEEK17</t>
        </is>
      </c>
      <c r="H236" t="n">
        <v>9</v>
      </c>
    </row>
    <row r="237">
      <c r="A237" t="inlineStr">
        <is>
          <t>G463 Prefix</t>
        </is>
      </c>
      <c r="B237" t="inlineStr">
        <is>
          <t>R-A</t>
        </is>
      </c>
      <c r="C237" t="inlineStr">
        <is>
          <t>Papp Judit</t>
        </is>
      </c>
      <c r="D237" t="inlineStr">
        <is>
          <t>SPACER</t>
        </is>
      </c>
      <c r="E237" t="inlineStr">
        <is>
          <t>06-18</t>
        </is>
      </c>
      <c r="F237" t="inlineStr">
        <is>
          <t>CW_43_Prefix_akrual.xlsx</t>
        </is>
      </c>
      <c r="G237" t="inlineStr">
        <is>
          <t>WEEK17</t>
        </is>
      </c>
      <c r="H237" t="n">
        <v>9</v>
      </c>
    </row>
    <row r="238">
      <c r="A238" t="inlineStr">
        <is>
          <t>G463 Prefix</t>
        </is>
      </c>
      <c r="B238" t="inlineStr">
        <is>
          <t>N</t>
        </is>
      </c>
      <c r="C238" t="inlineStr">
        <is>
          <t>Melnyk Hanna</t>
        </is>
      </c>
      <c r="D238" t="inlineStr">
        <is>
          <t>SPACER</t>
        </is>
      </c>
      <c r="E238" t="inlineStr">
        <is>
          <t>18-06</t>
        </is>
      </c>
      <c r="F238" t="inlineStr">
        <is>
          <t>CW_43_Prefix_akrual.xlsx</t>
        </is>
      </c>
      <c r="G238" t="inlineStr">
        <is>
          <t>WEEK17</t>
        </is>
      </c>
      <c r="H238" t="n">
        <v>9</v>
      </c>
    </row>
    <row r="239">
      <c r="A239" t="inlineStr">
        <is>
          <t>G463 Prefix</t>
        </is>
      </c>
      <c r="B239" t="inlineStr">
        <is>
          <t>N</t>
        </is>
      </c>
      <c r="C239" t="inlineStr">
        <is>
          <t>Berki Kristina</t>
        </is>
      </c>
      <c r="D239" t="inlineStr">
        <is>
          <t>SPACER</t>
        </is>
      </c>
      <c r="E239" t="inlineStr">
        <is>
          <t>18-06</t>
        </is>
      </c>
      <c r="F239" t="inlineStr">
        <is>
          <t>CW_43_Prefix_akrual.xlsx</t>
        </is>
      </c>
      <c r="G239" t="inlineStr">
        <is>
          <t>WEEK17</t>
        </is>
      </c>
      <c r="H239" t="n">
        <v>9</v>
      </c>
    </row>
    <row r="240">
      <c r="A240" t="inlineStr">
        <is>
          <t>G463 Prefix</t>
        </is>
      </c>
      <c r="B240" t="inlineStr">
        <is>
          <t>O</t>
        </is>
      </c>
      <c r="C240" t="inlineStr">
        <is>
          <t>Chycherov Yehor</t>
        </is>
      </c>
      <c r="D240" t="inlineStr">
        <is>
          <t>SPACER</t>
        </is>
      </c>
      <c r="E240" t="inlineStr">
        <is>
          <t>14-22</t>
        </is>
      </c>
      <c r="F240" t="inlineStr">
        <is>
          <t>CW_43_Prefix_akrual.xlsx</t>
        </is>
      </c>
      <c r="G240" t="inlineStr">
        <is>
          <t>WEEK17</t>
        </is>
      </c>
      <c r="H240" t="n">
        <v>9</v>
      </c>
    </row>
    <row r="241">
      <c r="A241" t="inlineStr">
        <is>
          <t>G463 Prefix</t>
        </is>
      </c>
      <c r="B241" t="inlineStr">
        <is>
          <t>R-B</t>
        </is>
      </c>
      <c r="C241" t="inlineStr">
        <is>
          <t>Pokorna Renata</t>
        </is>
      </c>
      <c r="D241" t="inlineStr">
        <is>
          <t>SPACER</t>
        </is>
      </c>
      <c r="E241" t="inlineStr">
        <is>
          <t>06-18</t>
        </is>
      </c>
      <c r="F241" t="inlineStr">
        <is>
          <t>CW_43_Prefix_akrual.xlsx</t>
        </is>
      </c>
      <c r="G241" t="inlineStr">
        <is>
          <t>WEEK17</t>
        </is>
      </c>
      <c r="H241" t="n">
        <v>9</v>
      </c>
    </row>
    <row r="242">
      <c r="A242" t="inlineStr">
        <is>
          <t>G463 Prefix</t>
        </is>
      </c>
      <c r="B242" t="inlineStr">
        <is>
          <t>R-A</t>
        </is>
      </c>
      <c r="C242" t="inlineStr">
        <is>
          <t>Kovacs Livia</t>
        </is>
      </c>
      <c r="D242" t="inlineStr">
        <is>
          <t>SPACER</t>
        </is>
      </c>
      <c r="E242" t="inlineStr">
        <is>
          <t>06-18</t>
        </is>
      </c>
      <c r="F242" t="inlineStr">
        <is>
          <t>CW_43_Prefix_akrual.xlsx</t>
        </is>
      </c>
      <c r="G242" t="inlineStr">
        <is>
          <t>WEEK17</t>
        </is>
      </c>
      <c r="H242" t="n">
        <v>10</v>
      </c>
    </row>
    <row r="243">
      <c r="A243" t="inlineStr">
        <is>
          <t>G463 Prefix</t>
        </is>
      </c>
      <c r="B243" t="inlineStr">
        <is>
          <t>N</t>
        </is>
      </c>
      <c r="C243" t="inlineStr">
        <is>
          <t>Oksana Danylchenko</t>
        </is>
      </c>
      <c r="D243" t="inlineStr">
        <is>
          <t>SPACER</t>
        </is>
      </c>
      <c r="E243" t="inlineStr">
        <is>
          <t>18-06</t>
        </is>
      </c>
      <c r="F243" t="inlineStr">
        <is>
          <t>CW_43_Prefix_akrual.xlsx</t>
        </is>
      </c>
      <c r="G243" t="inlineStr">
        <is>
          <t>WEEK17</t>
        </is>
      </c>
      <c r="H243" t="n">
        <v>10</v>
      </c>
    </row>
    <row r="244">
      <c r="A244" t="inlineStr">
        <is>
          <t>G463 Prefix</t>
        </is>
      </c>
      <c r="B244" t="inlineStr">
        <is>
          <t>O</t>
        </is>
      </c>
      <c r="C244" t="inlineStr">
        <is>
          <t>Kushnir Anna</t>
        </is>
      </c>
      <c r="D244" t="inlineStr">
        <is>
          <t>SPACER</t>
        </is>
      </c>
      <c r="E244" t="inlineStr">
        <is>
          <t>14-22</t>
        </is>
      </c>
      <c r="F244" t="inlineStr">
        <is>
          <t>CW_43_Prefix_akrual.xlsx</t>
        </is>
      </c>
      <c r="G244" t="inlineStr">
        <is>
          <t>WEEK17</t>
        </is>
      </c>
      <c r="H244" t="n">
        <v>10</v>
      </c>
    </row>
    <row r="245">
      <c r="A245" t="inlineStr">
        <is>
          <t>G463 Prefix</t>
        </is>
      </c>
      <c r="B245" t="inlineStr">
        <is>
          <t>R-B</t>
        </is>
      </c>
      <c r="C245" t="inlineStr">
        <is>
          <t>Petrunina Viktoria</t>
        </is>
      </c>
      <c r="D245" t="inlineStr">
        <is>
          <t>SPACER</t>
        </is>
      </c>
      <c r="E245" t="inlineStr">
        <is>
          <t>06-18</t>
        </is>
      </c>
      <c r="F245" t="inlineStr">
        <is>
          <t>CW_43_Prefix_akrual.xlsx</t>
        </is>
      </c>
      <c r="G245" t="inlineStr">
        <is>
          <t>WEEK17</t>
        </is>
      </c>
      <c r="H245" t="n">
        <v>10</v>
      </c>
    </row>
    <row r="246">
      <c r="A246" t="inlineStr">
        <is>
          <t>G463 Prefix</t>
        </is>
      </c>
      <c r="B246" t="inlineStr">
        <is>
          <t>R-A</t>
        </is>
      </c>
      <c r="C246" t="inlineStr">
        <is>
          <t>Olinik Matvi</t>
        </is>
      </c>
      <c r="D246" t="inlineStr">
        <is>
          <t>SPACER</t>
        </is>
      </c>
      <c r="E246" t="inlineStr">
        <is>
          <t>06-18</t>
        </is>
      </c>
      <c r="F246" t="inlineStr">
        <is>
          <t>CW_43_Prefix_akrual.xlsx</t>
        </is>
      </c>
      <c r="G246" t="inlineStr">
        <is>
          <t>WEEK17</t>
        </is>
      </c>
      <c r="H246" t="n">
        <v>11</v>
      </c>
    </row>
    <row r="247">
      <c r="A247" t="inlineStr">
        <is>
          <t>G463 Prefix</t>
        </is>
      </c>
      <c r="B247" t="inlineStr">
        <is>
          <t>N</t>
        </is>
      </c>
      <c r="C247" t="inlineStr">
        <is>
          <t>Hilchuk Khrystyna</t>
        </is>
      </c>
      <c r="D247" t="inlineStr">
        <is>
          <t>SPACER</t>
        </is>
      </c>
      <c r="E247" t="inlineStr">
        <is>
          <t>18-06</t>
        </is>
      </c>
      <c r="F247" t="inlineStr">
        <is>
          <t>CW_43_Prefix_akrual.xlsx</t>
        </is>
      </c>
      <c r="G247" t="inlineStr">
        <is>
          <t>WEEK17</t>
        </is>
      </c>
      <c r="H247" t="n">
        <v>11</v>
      </c>
    </row>
    <row r="248">
      <c r="A248" t="inlineStr">
        <is>
          <t>G463 Prefix</t>
        </is>
      </c>
      <c r="B248" t="inlineStr">
        <is>
          <t>R-B</t>
        </is>
      </c>
      <c r="C248" t="inlineStr">
        <is>
          <t>Kostyshyna Hanna</t>
        </is>
      </c>
      <c r="D248" t="inlineStr">
        <is>
          <t>SPACER</t>
        </is>
      </c>
      <c r="E248" t="inlineStr">
        <is>
          <t>06-18</t>
        </is>
      </c>
      <c r="F248" t="inlineStr">
        <is>
          <t>CW_43_Prefix_akrual.xlsx</t>
        </is>
      </c>
      <c r="G248" t="inlineStr">
        <is>
          <t>WEEK17</t>
        </is>
      </c>
      <c r="H248" t="n">
        <v>11</v>
      </c>
    </row>
    <row r="249">
      <c r="A249" t="inlineStr">
        <is>
          <t>G463 Prefix</t>
        </is>
      </c>
      <c r="B249" t="inlineStr">
        <is>
          <t>R-A</t>
        </is>
      </c>
      <c r="C249" t="inlineStr">
        <is>
          <t>Srbová Šárka</t>
        </is>
      </c>
      <c r="D249" t="inlineStr">
        <is>
          <t>SPACER Roll coater</t>
        </is>
      </c>
      <c r="E249" t="inlineStr">
        <is>
          <t>06-18</t>
        </is>
      </c>
      <c r="F249" t="inlineStr">
        <is>
          <t>CW_43_Prefix_akrual.xlsx</t>
        </is>
      </c>
      <c r="G249" t="inlineStr">
        <is>
          <t>WEEK17</t>
        </is>
      </c>
      <c r="H249" t="n">
        <v>12</v>
      </c>
    </row>
    <row r="250">
      <c r="A250" t="inlineStr">
        <is>
          <t>G463 Prefix</t>
        </is>
      </c>
      <c r="B250" t="inlineStr">
        <is>
          <t>N</t>
        </is>
      </c>
      <c r="C250" t="inlineStr">
        <is>
          <t>Papp Leticia</t>
        </is>
      </c>
      <c r="D250" t="inlineStr">
        <is>
          <t>SPACER Roll coater</t>
        </is>
      </c>
      <c r="E250" t="inlineStr">
        <is>
          <t>18-06</t>
        </is>
      </c>
      <c r="F250" t="inlineStr">
        <is>
          <t>CW_43_Prefix_akrual.xlsx</t>
        </is>
      </c>
      <c r="G250" t="inlineStr">
        <is>
          <t>WEEK17</t>
        </is>
      </c>
      <c r="H250" t="n">
        <v>12</v>
      </c>
    </row>
    <row r="251">
      <c r="A251" t="inlineStr">
        <is>
          <t>G463 Prefix</t>
        </is>
      </c>
      <c r="B251" t="inlineStr">
        <is>
          <t>O</t>
        </is>
      </c>
      <c r="C251" t="inlineStr">
        <is>
          <t>Nikola Novotná</t>
        </is>
      </c>
      <c r="D251" t="inlineStr">
        <is>
          <t>SPACER Roll coater</t>
        </is>
      </c>
      <c r="E251" t="inlineStr">
        <is>
          <t>14-22</t>
        </is>
      </c>
      <c r="F251" t="inlineStr">
        <is>
          <t>CW_43_Prefix_akrual.xlsx</t>
        </is>
      </c>
      <c r="G251" t="inlineStr">
        <is>
          <t>WEEK17</t>
        </is>
      </c>
      <c r="H251" t="n">
        <v>12</v>
      </c>
    </row>
    <row r="252">
      <c r="A252" t="inlineStr">
        <is>
          <t>G463 Prefix</t>
        </is>
      </c>
      <c r="B252" t="inlineStr">
        <is>
          <t>R-A</t>
        </is>
      </c>
      <c r="C252" t="inlineStr">
        <is>
          <t>Morklianyk Taras</t>
        </is>
      </c>
      <c r="D252" t="inlineStr">
        <is>
          <t>GLUE SPRAY</t>
        </is>
      </c>
      <c r="E252" t="inlineStr">
        <is>
          <t>06-18</t>
        </is>
      </c>
      <c r="F252" t="inlineStr">
        <is>
          <t>CW_43_Prefix_akrual.xlsx</t>
        </is>
      </c>
      <c r="G252" t="inlineStr">
        <is>
          <t>WEEK17</t>
        </is>
      </c>
      <c r="H252" t="n">
        <v>14</v>
      </c>
    </row>
    <row r="253">
      <c r="A253" t="inlineStr">
        <is>
          <t>G463 Prefix</t>
        </is>
      </c>
      <c r="B253" t="inlineStr">
        <is>
          <t>N</t>
        </is>
      </c>
      <c r="C253" t="inlineStr">
        <is>
          <t>Rimescu Ramona</t>
        </is>
      </c>
      <c r="D253" t="inlineStr">
        <is>
          <t>GLUE SPRAY</t>
        </is>
      </c>
      <c r="E253" t="inlineStr">
        <is>
          <t>18-06</t>
        </is>
      </c>
      <c r="F253" t="inlineStr">
        <is>
          <t>CW_43_Prefix_akrual.xlsx</t>
        </is>
      </c>
      <c r="G253" t="inlineStr">
        <is>
          <t>WEEK17</t>
        </is>
      </c>
      <c r="H253" t="n">
        <v>14</v>
      </c>
    </row>
    <row r="254">
      <c r="A254" t="inlineStr">
        <is>
          <t>G463 Prefix</t>
        </is>
      </c>
      <c r="B254" t="inlineStr">
        <is>
          <t>R-B</t>
        </is>
      </c>
      <c r="C254" t="inlineStr">
        <is>
          <t>Moiseienko Vira</t>
        </is>
      </c>
      <c r="D254" t="inlineStr">
        <is>
          <t>GLUE SPRAY</t>
        </is>
      </c>
      <c r="E254" t="inlineStr">
        <is>
          <t>06-18</t>
        </is>
      </c>
      <c r="F254" t="inlineStr">
        <is>
          <t>CW_43_Prefix_akrual.xlsx</t>
        </is>
      </c>
      <c r="G254" t="inlineStr">
        <is>
          <t>WEEK17</t>
        </is>
      </c>
      <c r="H254" t="n">
        <v>14</v>
      </c>
    </row>
    <row r="255">
      <c r="A255" t="inlineStr">
        <is>
          <t>G463 Prefix</t>
        </is>
      </c>
      <c r="B255" t="inlineStr">
        <is>
          <t>R-A</t>
        </is>
      </c>
      <c r="C255" t="inlineStr">
        <is>
          <t>Tamasi Erzsebet</t>
        </is>
      </c>
      <c r="D255" t="inlineStr">
        <is>
          <t>PREFIX  1. stůl</t>
        </is>
      </c>
      <c r="E255" t="inlineStr">
        <is>
          <t>06-18</t>
        </is>
      </c>
      <c r="F255" t="inlineStr">
        <is>
          <t>CW_43_Prefix_akrual.xlsx</t>
        </is>
      </c>
      <c r="G255" t="inlineStr">
        <is>
          <t>WEEK17</t>
        </is>
      </c>
      <c r="H255" t="n">
        <v>16</v>
      </c>
    </row>
    <row r="256">
      <c r="A256" t="inlineStr">
        <is>
          <t>G463 Prefix</t>
        </is>
      </c>
      <c r="B256" t="inlineStr">
        <is>
          <t>R-A</t>
        </is>
      </c>
      <c r="C256" t="inlineStr">
        <is>
          <t>Rohovenko Pavlo</t>
        </is>
      </c>
      <c r="D256" t="inlineStr">
        <is>
          <t>PREFIX  1. stůl</t>
        </is>
      </c>
      <c r="E256" t="inlineStr">
        <is>
          <t>06-18</t>
        </is>
      </c>
      <c r="F256" t="inlineStr">
        <is>
          <t>CW_43_Prefix_akrual.xlsx</t>
        </is>
      </c>
      <c r="G256" t="inlineStr">
        <is>
          <t>WEEK17</t>
        </is>
      </c>
      <c r="H256" t="n">
        <v>16</v>
      </c>
    </row>
    <row r="257">
      <c r="A257" t="inlineStr">
        <is>
          <t>G463 Prefix</t>
        </is>
      </c>
      <c r="B257" t="inlineStr">
        <is>
          <t>R-A</t>
        </is>
      </c>
      <c r="C257" t="inlineStr">
        <is>
          <t>Hadzsega Viktoria</t>
        </is>
      </c>
      <c r="D257" t="inlineStr">
        <is>
          <t>PREFIX  1. stůl</t>
        </is>
      </c>
      <c r="E257" t="inlineStr">
        <is>
          <t>06-18</t>
        </is>
      </c>
      <c r="F257" t="inlineStr">
        <is>
          <t>CW_43_Prefix_akrual.xlsx</t>
        </is>
      </c>
      <c r="G257" t="inlineStr">
        <is>
          <t>WEEK17</t>
        </is>
      </c>
      <c r="H257" t="n">
        <v>16</v>
      </c>
    </row>
    <row r="258">
      <c r="A258" t="inlineStr">
        <is>
          <t>G463 Prefix</t>
        </is>
      </c>
      <c r="B258" t="inlineStr">
        <is>
          <t>R-A</t>
        </is>
      </c>
      <c r="C258" t="inlineStr">
        <is>
          <t>Mihaly Norbert</t>
        </is>
      </c>
      <c r="D258" t="inlineStr">
        <is>
          <t>PREFIX  1. stůl</t>
        </is>
      </c>
      <c r="E258" t="inlineStr">
        <is>
          <t>06-18</t>
        </is>
      </c>
      <c r="F258" t="inlineStr">
        <is>
          <t>CW_43_Prefix_akrual.xlsx</t>
        </is>
      </c>
      <c r="G258" t="inlineStr">
        <is>
          <t>WEEK17</t>
        </is>
      </c>
      <c r="H258" t="n">
        <v>16</v>
      </c>
    </row>
    <row r="259">
      <c r="A259" t="inlineStr">
        <is>
          <t>G463 Prefix</t>
        </is>
      </c>
      <c r="B259" t="inlineStr">
        <is>
          <t>R-A</t>
        </is>
      </c>
      <c r="C259" t="inlineStr">
        <is>
          <t>Fontosh M</t>
        </is>
      </c>
      <c r="D259" t="inlineStr">
        <is>
          <t>PREFIX  1. stůl</t>
        </is>
      </c>
      <c r="E259" t="inlineStr">
        <is>
          <t>06-18</t>
        </is>
      </c>
      <c r="F259" t="inlineStr">
        <is>
          <t>CW_43_Prefix_akrual.xlsx</t>
        </is>
      </c>
      <c r="G259" t="inlineStr">
        <is>
          <t>WEEK17</t>
        </is>
      </c>
      <c r="H259" t="n">
        <v>16</v>
      </c>
    </row>
    <row r="260">
      <c r="A260" t="inlineStr">
        <is>
          <t>G463 Prefix</t>
        </is>
      </c>
      <c r="B260" t="inlineStr">
        <is>
          <t>R-A</t>
        </is>
      </c>
      <c r="C260" t="inlineStr">
        <is>
          <t>Tsyba Maksym</t>
        </is>
      </c>
      <c r="D260" t="inlineStr">
        <is>
          <t>PREFIX  1. stůl</t>
        </is>
      </c>
      <c r="E260" t="inlineStr">
        <is>
          <t>06-18</t>
        </is>
      </c>
      <c r="F260" t="inlineStr">
        <is>
          <t>CW_43_Prefix_akrual.xlsx</t>
        </is>
      </c>
      <c r="G260" t="inlineStr">
        <is>
          <t>WEEK17</t>
        </is>
      </c>
      <c r="H260" t="n">
        <v>16</v>
      </c>
    </row>
    <row r="261">
      <c r="A261" t="inlineStr">
        <is>
          <t>G463 Prefix</t>
        </is>
      </c>
      <c r="B261" t="inlineStr">
        <is>
          <t>R-A</t>
        </is>
      </c>
      <c r="C261" t="inlineStr">
        <is>
          <t>Izhyk Mariana</t>
        </is>
      </c>
      <c r="D261" t="inlineStr">
        <is>
          <t>PREFIX  1. stůl</t>
        </is>
      </c>
      <c r="E261" t="inlineStr">
        <is>
          <t>06-18</t>
        </is>
      </c>
      <c r="F261" t="inlineStr">
        <is>
          <t>CW_43_Prefix_akrual.xlsx</t>
        </is>
      </c>
      <c r="G261" t="inlineStr">
        <is>
          <t>WEEK17</t>
        </is>
      </c>
      <c r="H261" t="n">
        <v>16</v>
      </c>
    </row>
    <row r="262">
      <c r="A262" t="inlineStr">
        <is>
          <t>G463 Prefix</t>
        </is>
      </c>
      <c r="B262" t="inlineStr">
        <is>
          <t>R-A</t>
        </is>
      </c>
      <c r="C262" t="inlineStr">
        <is>
          <t>Bohac Serhii</t>
        </is>
      </c>
      <c r="D262" t="inlineStr">
        <is>
          <t>PREFIX  1. stůl</t>
        </is>
      </c>
      <c r="E262" t="inlineStr">
        <is>
          <t>06-18</t>
        </is>
      </c>
      <c r="F262" t="inlineStr">
        <is>
          <t>CW_43_Prefix_akrual.xlsx</t>
        </is>
      </c>
      <c r="G262" t="inlineStr">
        <is>
          <t>WEEK17</t>
        </is>
      </c>
      <c r="H262" t="n">
        <v>16</v>
      </c>
    </row>
    <row r="263">
      <c r="A263" t="inlineStr">
        <is>
          <t>G463 Prefix</t>
        </is>
      </c>
      <c r="B263" t="inlineStr">
        <is>
          <t>N</t>
        </is>
      </c>
      <c r="C263" t="inlineStr">
        <is>
          <t>Sizhko Serhi</t>
        </is>
      </c>
      <c r="D263" t="inlineStr">
        <is>
          <t>PREFIX  1. stůl</t>
        </is>
      </c>
      <c r="E263" t="inlineStr">
        <is>
          <t>18-06</t>
        </is>
      </c>
      <c r="F263" t="inlineStr">
        <is>
          <t>CW_43_Prefix_akrual.xlsx</t>
        </is>
      </c>
      <c r="G263" t="inlineStr">
        <is>
          <t>WEEK17</t>
        </is>
      </c>
      <c r="H263" t="n">
        <v>16</v>
      </c>
    </row>
    <row r="264">
      <c r="A264" t="inlineStr">
        <is>
          <t>G463 Prefix</t>
        </is>
      </c>
      <c r="B264" t="inlineStr">
        <is>
          <t>N</t>
        </is>
      </c>
      <c r="C264" t="inlineStr">
        <is>
          <t>Anika Sandor</t>
        </is>
      </c>
      <c r="D264" t="inlineStr">
        <is>
          <t>PREFIX  1. stůl</t>
        </is>
      </c>
      <c r="E264" t="inlineStr">
        <is>
          <t>18-06</t>
        </is>
      </c>
      <c r="F264" t="inlineStr">
        <is>
          <t>CW_43_Prefix_akrual.xlsx</t>
        </is>
      </c>
      <c r="G264" t="inlineStr">
        <is>
          <t>WEEK17</t>
        </is>
      </c>
      <c r="H264" t="n">
        <v>16</v>
      </c>
    </row>
    <row r="265">
      <c r="A265" t="inlineStr">
        <is>
          <t>G463 Prefix</t>
        </is>
      </c>
      <c r="B265" t="inlineStr">
        <is>
          <t>N</t>
        </is>
      </c>
      <c r="C265" t="inlineStr">
        <is>
          <t>Stancu Valentin Ionut</t>
        </is>
      </c>
      <c r="D265" t="inlineStr">
        <is>
          <t>PREFIX  1. stůl</t>
        </is>
      </c>
      <c r="E265" t="inlineStr">
        <is>
          <t>18-06</t>
        </is>
      </c>
      <c r="F265" t="inlineStr">
        <is>
          <t>CW_43_Prefix_akrual.xlsx</t>
        </is>
      </c>
      <c r="G265" t="inlineStr">
        <is>
          <t>WEEK17</t>
        </is>
      </c>
      <c r="H265" t="n">
        <v>16</v>
      </c>
    </row>
    <row r="266">
      <c r="A266" t="inlineStr">
        <is>
          <t>G463 Prefix</t>
        </is>
      </c>
      <c r="B266" t="inlineStr">
        <is>
          <t>N</t>
        </is>
      </c>
      <c r="C266" t="inlineStr">
        <is>
          <t>Radchenko Anna</t>
        </is>
      </c>
      <c r="D266" t="inlineStr">
        <is>
          <t>PREFIX  1. stůl</t>
        </is>
      </c>
      <c r="E266" t="inlineStr">
        <is>
          <t>18-06</t>
        </is>
      </c>
      <c r="F266" t="inlineStr">
        <is>
          <t>CW_43_Prefix_akrual.xlsx</t>
        </is>
      </c>
      <c r="G266" t="inlineStr">
        <is>
          <t>WEEK17</t>
        </is>
      </c>
      <c r="H266" t="n">
        <v>16</v>
      </c>
    </row>
    <row r="267">
      <c r="A267" t="inlineStr">
        <is>
          <t>G463 Prefix</t>
        </is>
      </c>
      <c r="B267" t="inlineStr">
        <is>
          <t>N</t>
        </is>
      </c>
      <c r="C267" t="inlineStr">
        <is>
          <t>Vivien  Symizsuk</t>
        </is>
      </c>
      <c r="D267" t="inlineStr">
        <is>
          <t>PREFIX  1. stůl</t>
        </is>
      </c>
      <c r="E267" t="inlineStr">
        <is>
          <t>18-06</t>
        </is>
      </c>
      <c r="F267" t="inlineStr">
        <is>
          <t>CW_43_Prefix_akrual.xlsx</t>
        </is>
      </c>
      <c r="G267" t="inlineStr">
        <is>
          <t>WEEK17</t>
        </is>
      </c>
      <c r="H267" t="n">
        <v>16</v>
      </c>
    </row>
    <row r="268">
      <c r="A268" t="inlineStr">
        <is>
          <t>G463 Prefix</t>
        </is>
      </c>
      <c r="B268" t="inlineStr">
        <is>
          <t>N</t>
        </is>
      </c>
      <c r="C268" t="inlineStr">
        <is>
          <t>Thapa Gayatra</t>
        </is>
      </c>
      <c r="D268" t="inlineStr">
        <is>
          <t>PREFIX  1. stůl</t>
        </is>
      </c>
      <c r="E268" t="inlineStr">
        <is>
          <t>18-06</t>
        </is>
      </c>
      <c r="F268" t="inlineStr">
        <is>
          <t>CW_43_Prefix_akrual.xlsx</t>
        </is>
      </c>
      <c r="G268" t="inlineStr">
        <is>
          <t>WEEK17</t>
        </is>
      </c>
      <c r="H268" t="n">
        <v>16</v>
      </c>
    </row>
    <row r="269">
      <c r="A269" t="inlineStr">
        <is>
          <t>G463 Prefix</t>
        </is>
      </c>
      <c r="B269" t="inlineStr">
        <is>
          <t>N</t>
        </is>
      </c>
      <c r="C269" t="inlineStr">
        <is>
          <t>thanet Kumari</t>
        </is>
      </c>
      <c r="D269" t="inlineStr">
        <is>
          <t>PREFIX  1. stůl</t>
        </is>
      </c>
      <c r="E269" t="inlineStr">
        <is>
          <t>18-06</t>
        </is>
      </c>
      <c r="F269" t="inlineStr">
        <is>
          <t>CW_43_Prefix_akrual.xlsx</t>
        </is>
      </c>
      <c r="G269" t="inlineStr">
        <is>
          <t>WEEK17</t>
        </is>
      </c>
      <c r="H269" t="n">
        <v>16</v>
      </c>
    </row>
    <row r="270">
      <c r="A270" t="inlineStr">
        <is>
          <t>G463 Prefix</t>
        </is>
      </c>
      <c r="B270" t="inlineStr">
        <is>
          <t>N</t>
        </is>
      </c>
      <c r="C270" t="inlineStr">
        <is>
          <t>Tkachuk Ihor</t>
        </is>
      </c>
      <c r="D270" t="inlineStr">
        <is>
          <t>PREFIX  1. stůl</t>
        </is>
      </c>
      <c r="E270" t="inlineStr">
        <is>
          <t>18-06</t>
        </is>
      </c>
      <c r="F270" t="inlineStr">
        <is>
          <t>CW_43_Prefix_akrual.xlsx</t>
        </is>
      </c>
      <c r="G270" t="inlineStr">
        <is>
          <t>WEEK17</t>
        </is>
      </c>
      <c r="H270" t="n">
        <v>16</v>
      </c>
    </row>
    <row r="271">
      <c r="A271" t="inlineStr">
        <is>
          <t>G463 Prefix</t>
        </is>
      </c>
      <c r="B271" t="inlineStr">
        <is>
          <t>O</t>
        </is>
      </c>
      <c r="C271" t="inlineStr">
        <is>
          <t>Liubushkina Olena</t>
        </is>
      </c>
      <c r="D271" t="inlineStr">
        <is>
          <t>PREFIX  1. stůl</t>
        </is>
      </c>
      <c r="E271" t="inlineStr">
        <is>
          <t>14-22</t>
        </is>
      </c>
      <c r="F271" t="inlineStr">
        <is>
          <t>CW_43_Prefix_akrual.xlsx</t>
        </is>
      </c>
      <c r="G271" t="inlineStr">
        <is>
          <t>WEEK17</t>
        </is>
      </c>
      <c r="H271" t="n">
        <v>16</v>
      </c>
    </row>
    <row r="272">
      <c r="A272" t="inlineStr">
        <is>
          <t>G463 Prefix</t>
        </is>
      </c>
      <c r="B272" t="inlineStr">
        <is>
          <t>O</t>
        </is>
      </c>
      <c r="C272" t="inlineStr">
        <is>
          <t>Chernetskyi Danylo</t>
        </is>
      </c>
      <c r="D272" t="inlineStr">
        <is>
          <t>PREFIX  1. stůl</t>
        </is>
      </c>
      <c r="E272" t="inlineStr">
        <is>
          <t>14-22</t>
        </is>
      </c>
      <c r="F272" t="inlineStr">
        <is>
          <t>CW_43_Prefix_akrual.xlsx</t>
        </is>
      </c>
      <c r="G272" t="inlineStr">
        <is>
          <t>WEEK17</t>
        </is>
      </c>
      <c r="H272" t="n">
        <v>16</v>
      </c>
    </row>
    <row r="273">
      <c r="A273" t="inlineStr">
        <is>
          <t>G463 Prefix</t>
        </is>
      </c>
      <c r="B273" t="inlineStr">
        <is>
          <t>R-B</t>
        </is>
      </c>
      <c r="C273" t="inlineStr">
        <is>
          <t>Hrabar Yevhenii</t>
        </is>
      </c>
      <c r="D273" t="inlineStr">
        <is>
          <t>PREFIX  1. stůl</t>
        </is>
      </c>
      <c r="E273" t="inlineStr">
        <is>
          <t>06-18</t>
        </is>
      </c>
      <c r="F273" t="inlineStr">
        <is>
          <t>CW_43_Prefix_akrual.xlsx</t>
        </is>
      </c>
      <c r="G273" t="inlineStr">
        <is>
          <t>WEEK17</t>
        </is>
      </c>
      <c r="H273" t="n">
        <v>16</v>
      </c>
    </row>
    <row r="274">
      <c r="A274" t="inlineStr">
        <is>
          <t>G463 Prefix</t>
        </is>
      </c>
      <c r="B274" t="inlineStr">
        <is>
          <t>R-B</t>
        </is>
      </c>
      <c r="C274" t="inlineStr">
        <is>
          <t>Kharchenko Yelizaveta</t>
        </is>
      </c>
      <c r="D274" t="inlineStr">
        <is>
          <t>PREFIX  1. stůl</t>
        </is>
      </c>
      <c r="E274" t="inlineStr">
        <is>
          <t>06-18</t>
        </is>
      </c>
      <c r="F274" t="inlineStr">
        <is>
          <t>CW_43_Prefix_akrual.xlsx</t>
        </is>
      </c>
      <c r="G274" t="inlineStr">
        <is>
          <t>WEEK17</t>
        </is>
      </c>
      <c r="H274" t="n">
        <v>16</v>
      </c>
    </row>
    <row r="275">
      <c r="A275" t="inlineStr">
        <is>
          <t>G463 Prefix</t>
        </is>
      </c>
      <c r="B275" t="inlineStr">
        <is>
          <t>R-B</t>
        </is>
      </c>
      <c r="C275" t="inlineStr">
        <is>
          <t>Hutei Mykyta</t>
        </is>
      </c>
      <c r="D275" t="inlineStr">
        <is>
          <t>PREFIX  1. stůl</t>
        </is>
      </c>
      <c r="E275" t="inlineStr">
        <is>
          <t>06-18</t>
        </is>
      </c>
      <c r="F275" t="inlineStr">
        <is>
          <t>CW_43_Prefix_akrual.xlsx</t>
        </is>
      </c>
      <c r="G275" t="inlineStr">
        <is>
          <t>WEEK17</t>
        </is>
      </c>
      <c r="H275" t="n">
        <v>16</v>
      </c>
    </row>
    <row r="276">
      <c r="A276" t="inlineStr">
        <is>
          <t>G463 Prefix</t>
        </is>
      </c>
      <c r="B276" t="inlineStr">
        <is>
          <t>R-B</t>
        </is>
      </c>
      <c r="C276" t="inlineStr">
        <is>
          <t>Rakyskyi Ivan</t>
        </is>
      </c>
      <c r="D276" t="inlineStr">
        <is>
          <t>PREFIX  1. stůl</t>
        </is>
      </c>
      <c r="E276" t="inlineStr">
        <is>
          <t>06-18</t>
        </is>
      </c>
      <c r="F276" t="inlineStr">
        <is>
          <t>CW_43_Prefix_akrual.xlsx</t>
        </is>
      </c>
      <c r="G276" t="inlineStr">
        <is>
          <t>WEEK17</t>
        </is>
      </c>
      <c r="H276" t="n">
        <v>16</v>
      </c>
    </row>
    <row r="277">
      <c r="A277" t="inlineStr">
        <is>
          <t>G463 Prefix</t>
        </is>
      </c>
      <c r="B277" t="inlineStr">
        <is>
          <t>R-B</t>
        </is>
      </c>
      <c r="C277" t="inlineStr">
        <is>
          <t>Vovchok Jaroslava</t>
        </is>
      </c>
      <c r="D277" t="inlineStr">
        <is>
          <t>PREFIX  1. stůl</t>
        </is>
      </c>
      <c r="E277" t="inlineStr">
        <is>
          <t>06-18</t>
        </is>
      </c>
      <c r="F277" t="inlineStr">
        <is>
          <t>CW_43_Prefix_akrual.xlsx</t>
        </is>
      </c>
      <c r="G277" t="inlineStr">
        <is>
          <t>WEEK17</t>
        </is>
      </c>
      <c r="H277" t="n">
        <v>16</v>
      </c>
    </row>
    <row r="278">
      <c r="A278" t="inlineStr">
        <is>
          <t>G463 Prefix</t>
        </is>
      </c>
      <c r="B278" t="inlineStr">
        <is>
          <t>R-B</t>
        </is>
      </c>
      <c r="C278" t="inlineStr">
        <is>
          <t>Mendzhul Anastasiia</t>
        </is>
      </c>
      <c r="D278" t="inlineStr">
        <is>
          <t>PREFIX  1. stůl</t>
        </is>
      </c>
      <c r="E278" t="inlineStr">
        <is>
          <t>06-18</t>
        </is>
      </c>
      <c r="F278" t="inlineStr">
        <is>
          <t>CW_43_Prefix_akrual.xlsx</t>
        </is>
      </c>
      <c r="G278" t="inlineStr">
        <is>
          <t>WEEK17</t>
        </is>
      </c>
      <c r="H278" t="n">
        <v>16</v>
      </c>
    </row>
    <row r="279">
      <c r="A279" t="inlineStr">
        <is>
          <t>G463 Prefix</t>
        </is>
      </c>
      <c r="B279" t="inlineStr">
        <is>
          <t>R-B</t>
        </is>
      </c>
      <c r="C279" t="inlineStr">
        <is>
          <t>Anton Romanenko</t>
        </is>
      </c>
      <c r="D279" t="inlineStr">
        <is>
          <t>PREFIX  1. stůl</t>
        </is>
      </c>
      <c r="E279" t="inlineStr">
        <is>
          <t>06-18</t>
        </is>
      </c>
      <c r="F279" t="inlineStr">
        <is>
          <t>CW_43_Prefix_akrual.xlsx</t>
        </is>
      </c>
      <c r="G279" t="inlineStr">
        <is>
          <t>WEEK17</t>
        </is>
      </c>
      <c r="H279" t="n">
        <v>16</v>
      </c>
    </row>
    <row r="280">
      <c r="A280" t="inlineStr">
        <is>
          <t>G463 Prefix</t>
        </is>
      </c>
      <c r="B280" t="inlineStr">
        <is>
          <t>R-B</t>
        </is>
      </c>
      <c r="C280" t="inlineStr">
        <is>
          <t>Bordakov Oleksandr</t>
        </is>
      </c>
      <c r="D280" t="inlineStr">
        <is>
          <t>PREFIX  1. stůl</t>
        </is>
      </c>
      <c r="E280" t="inlineStr">
        <is>
          <t>06-18</t>
        </is>
      </c>
      <c r="F280" t="inlineStr">
        <is>
          <t>CW_43_Prefix_akrual.xlsx</t>
        </is>
      </c>
      <c r="G280" t="inlineStr">
        <is>
          <t>WEEK17</t>
        </is>
      </c>
      <c r="H280" t="n">
        <v>16</v>
      </c>
    </row>
    <row r="281">
      <c r="A281" t="inlineStr">
        <is>
          <t>G463 Prefix</t>
        </is>
      </c>
      <c r="B281" t="inlineStr">
        <is>
          <t>O</t>
        </is>
      </c>
      <c r="C281" t="inlineStr">
        <is>
          <t>Balitkyi Yan</t>
        </is>
      </c>
      <c r="D281" t="inlineStr">
        <is>
          <t>PREFIX  2. stůl</t>
        </is>
      </c>
      <c r="E281" t="inlineStr">
        <is>
          <t>14-22</t>
        </is>
      </c>
      <c r="F281" t="inlineStr">
        <is>
          <t>CW_43_Prefix_akrual.xlsx</t>
        </is>
      </c>
      <c r="G281" t="inlineStr">
        <is>
          <t>WEEK17</t>
        </is>
      </c>
      <c r="H281" t="n">
        <v>17</v>
      </c>
    </row>
    <row r="282">
      <c r="A282" t="inlineStr">
        <is>
          <t>G463 Prefix</t>
        </is>
      </c>
      <c r="B282" t="inlineStr">
        <is>
          <t>O</t>
        </is>
      </c>
      <c r="C282" t="inlineStr">
        <is>
          <t>Jucsor Marius Adrian</t>
        </is>
      </c>
      <c r="D282" t="inlineStr">
        <is>
          <t>PREFIX  2. stůl</t>
        </is>
      </c>
      <c r="E282" t="inlineStr">
        <is>
          <t>14-22</t>
        </is>
      </c>
      <c r="F282" t="inlineStr">
        <is>
          <t>CW_43_Prefix_akrual.xlsx</t>
        </is>
      </c>
      <c r="G282" t="inlineStr">
        <is>
          <t>WEEK17</t>
        </is>
      </c>
      <c r="H282" t="n">
        <v>17</v>
      </c>
    </row>
    <row r="283">
      <c r="A283" t="inlineStr">
        <is>
          <t>G463 Prefix</t>
        </is>
      </c>
      <c r="B283" t="inlineStr">
        <is>
          <t>R-A</t>
        </is>
      </c>
      <c r="C283" t="inlineStr">
        <is>
          <t>Sokhranych Ivan</t>
        </is>
      </c>
      <c r="D283" t="inlineStr">
        <is>
          <t>LAMI</t>
        </is>
      </c>
      <c r="E283" t="inlineStr">
        <is>
          <t>06-18</t>
        </is>
      </c>
      <c r="F283" t="inlineStr">
        <is>
          <t>CW_43_Prefix_akrual.xlsx</t>
        </is>
      </c>
      <c r="G283" t="inlineStr">
        <is>
          <t>WEEK17</t>
        </is>
      </c>
      <c r="H283" t="n">
        <v>22</v>
      </c>
    </row>
    <row r="284">
      <c r="A284" t="inlineStr">
        <is>
          <t>G463 Prefix</t>
        </is>
      </c>
      <c r="B284" t="inlineStr">
        <is>
          <t>N</t>
        </is>
      </c>
      <c r="C284" t="inlineStr">
        <is>
          <t>Levchenko Arsenii</t>
        </is>
      </c>
      <c r="D284" t="inlineStr">
        <is>
          <t>LAMI</t>
        </is>
      </c>
      <c r="E284" t="inlineStr">
        <is>
          <t>18-06</t>
        </is>
      </c>
      <c r="F284" t="inlineStr">
        <is>
          <t>CW_43_Prefix_akrual.xlsx</t>
        </is>
      </c>
      <c r="G284" t="inlineStr">
        <is>
          <t>WEEK17</t>
        </is>
      </c>
      <c r="H284" t="n">
        <v>22</v>
      </c>
    </row>
    <row r="285">
      <c r="A285" t="inlineStr">
        <is>
          <t>G463 Prefix</t>
        </is>
      </c>
      <c r="B285" t="inlineStr">
        <is>
          <t>N</t>
        </is>
      </c>
      <c r="C285" t="inlineStr">
        <is>
          <t>Horvath Jozef</t>
        </is>
      </c>
      <c r="D285" t="inlineStr">
        <is>
          <t>LAMI</t>
        </is>
      </c>
      <c r="E285" t="inlineStr">
        <is>
          <t>18-06</t>
        </is>
      </c>
      <c r="F285" t="inlineStr">
        <is>
          <t>CW_43_Prefix_akrual.xlsx</t>
        </is>
      </c>
      <c r="G285" t="inlineStr">
        <is>
          <t>WEEK17</t>
        </is>
      </c>
      <c r="H285" t="n">
        <v>22</v>
      </c>
    </row>
    <row r="286">
      <c r="A286" t="inlineStr">
        <is>
          <t>G463 Prefix</t>
        </is>
      </c>
      <c r="B286" t="inlineStr">
        <is>
          <t>O</t>
        </is>
      </c>
      <c r="C286" t="inlineStr">
        <is>
          <t>Borakhovskyi Mykhailo</t>
        </is>
      </c>
      <c r="D286" t="inlineStr">
        <is>
          <t>LAMI</t>
        </is>
      </c>
      <c r="E286" t="inlineStr">
        <is>
          <t>14-22</t>
        </is>
      </c>
      <c r="F286" t="inlineStr">
        <is>
          <t>CW_43_Prefix_akrual.xlsx</t>
        </is>
      </c>
      <c r="G286" t="inlineStr">
        <is>
          <t>WEEK17</t>
        </is>
      </c>
      <c r="H286" t="n">
        <v>22</v>
      </c>
    </row>
    <row r="287">
      <c r="A287" t="inlineStr">
        <is>
          <t>G463 Prefix</t>
        </is>
      </c>
      <c r="B287" t="inlineStr">
        <is>
          <t>R-B</t>
        </is>
      </c>
      <c r="C287" t="inlineStr">
        <is>
          <t>Dargaj Peter</t>
        </is>
      </c>
      <c r="D287" t="inlineStr">
        <is>
          <t>LAMI</t>
        </is>
      </c>
      <c r="E287" t="inlineStr">
        <is>
          <t>06-18</t>
        </is>
      </c>
      <c r="F287" t="inlineStr">
        <is>
          <t>CW_43_Prefix_akrual.xlsx</t>
        </is>
      </c>
      <c r="G287" t="inlineStr">
        <is>
          <t>WEEK17</t>
        </is>
      </c>
      <c r="H287" t="n">
        <v>22</v>
      </c>
    </row>
    <row r="288">
      <c r="A288" t="inlineStr">
        <is>
          <t>G463 Prefix</t>
        </is>
      </c>
      <c r="B288" t="inlineStr">
        <is>
          <t>R-A</t>
        </is>
      </c>
      <c r="C288" t="inlineStr">
        <is>
          <t>Kramak Kyrylo</t>
        </is>
      </c>
      <c r="D288" t="inlineStr">
        <is>
          <t>LAMI</t>
        </is>
      </c>
      <c r="E288" t="inlineStr">
        <is>
          <t>06-18</t>
        </is>
      </c>
      <c r="F288" t="inlineStr">
        <is>
          <t>CW_43_Prefix_akrual.xlsx</t>
        </is>
      </c>
      <c r="G288" t="inlineStr">
        <is>
          <t>WEEK17</t>
        </is>
      </c>
      <c r="H288" t="n">
        <v>23</v>
      </c>
    </row>
    <row r="289">
      <c r="A289" t="inlineStr">
        <is>
          <t>G463 Prefix</t>
        </is>
      </c>
      <c r="B289" t="inlineStr">
        <is>
          <t>N</t>
        </is>
      </c>
      <c r="C289" t="inlineStr">
        <is>
          <t>Sajbakov Nikita</t>
        </is>
      </c>
      <c r="D289" t="inlineStr">
        <is>
          <t>LAMI</t>
        </is>
      </c>
      <c r="E289" t="inlineStr">
        <is>
          <t>18-06</t>
        </is>
      </c>
      <c r="F289" t="inlineStr">
        <is>
          <t>CW_43_Prefix_akrual.xlsx</t>
        </is>
      </c>
      <c r="G289" t="inlineStr">
        <is>
          <t>WEEK17</t>
        </is>
      </c>
      <c r="H289" t="n">
        <v>23</v>
      </c>
    </row>
    <row r="290">
      <c r="A290" t="inlineStr">
        <is>
          <t>G463 Prefix</t>
        </is>
      </c>
      <c r="B290" t="inlineStr">
        <is>
          <t>R-B</t>
        </is>
      </c>
      <c r="C290" t="inlineStr">
        <is>
          <t>Tomic Nenad</t>
        </is>
      </c>
      <c r="D290" t="inlineStr">
        <is>
          <t>LAMI</t>
        </is>
      </c>
      <c r="E290" t="inlineStr">
        <is>
          <t>06-18</t>
        </is>
      </c>
      <c r="F290" t="inlineStr">
        <is>
          <t>CW_43_Prefix_akrual.xlsx</t>
        </is>
      </c>
      <c r="G290" t="inlineStr">
        <is>
          <t>WEEK17</t>
        </is>
      </c>
      <c r="H290" t="n">
        <v>23</v>
      </c>
    </row>
    <row r="291">
      <c r="A291" t="inlineStr">
        <is>
          <t>G463 Prefix</t>
        </is>
      </c>
      <c r="B291" t="inlineStr">
        <is>
          <t>R-B</t>
        </is>
      </c>
      <c r="C291" t="inlineStr">
        <is>
          <t>Kovalchuk Mykota</t>
        </is>
      </c>
      <c r="D291" t="inlineStr">
        <is>
          <t>LAMI</t>
        </is>
      </c>
      <c r="E291" t="inlineStr">
        <is>
          <t>06-18</t>
        </is>
      </c>
      <c r="F291" t="inlineStr">
        <is>
          <t>CW_43_Prefix_akrual.xlsx</t>
        </is>
      </c>
      <c r="G291" t="inlineStr">
        <is>
          <t>WEEK17</t>
        </is>
      </c>
      <c r="H291" t="n">
        <v>23</v>
      </c>
    </row>
    <row r="292">
      <c r="A292" t="inlineStr">
        <is>
          <t>G463 Prefix</t>
        </is>
      </c>
      <c r="B292" t="inlineStr">
        <is>
          <t>R-A</t>
        </is>
      </c>
      <c r="C292" t="inlineStr">
        <is>
          <t>Elek Tibor</t>
        </is>
      </c>
      <c r="D292" t="inlineStr">
        <is>
          <t>EDGW 1. stůl</t>
        </is>
      </c>
      <c r="E292" t="inlineStr">
        <is>
          <t>06-18</t>
        </is>
      </c>
      <c r="F292" t="inlineStr">
        <is>
          <t>CW_43_Prefix_akrual.xlsx</t>
        </is>
      </c>
      <c r="G292" t="inlineStr">
        <is>
          <t>WEEK17</t>
        </is>
      </c>
      <c r="H292" t="n">
        <v>25</v>
      </c>
    </row>
    <row r="293">
      <c r="A293" t="inlineStr">
        <is>
          <t>G463 Prefix</t>
        </is>
      </c>
      <c r="B293" t="inlineStr">
        <is>
          <t>N</t>
        </is>
      </c>
      <c r="C293" t="inlineStr">
        <is>
          <t>Virich Oleksandr</t>
        </is>
      </c>
      <c r="D293" t="inlineStr">
        <is>
          <t>EDGW 1. stůl</t>
        </is>
      </c>
      <c r="E293" t="inlineStr">
        <is>
          <t>18-06</t>
        </is>
      </c>
      <c r="F293" t="inlineStr">
        <is>
          <t>CW_43_Prefix_akrual.xlsx</t>
        </is>
      </c>
      <c r="G293" t="inlineStr">
        <is>
          <t>WEEK17</t>
        </is>
      </c>
      <c r="H293" t="n">
        <v>25</v>
      </c>
    </row>
    <row r="294">
      <c r="A294" t="inlineStr">
        <is>
          <t>G463 Prefix</t>
        </is>
      </c>
      <c r="B294" t="inlineStr">
        <is>
          <t>N</t>
        </is>
      </c>
      <c r="C294" t="inlineStr">
        <is>
          <t>Yonash Artur</t>
        </is>
      </c>
      <c r="D294" t="inlineStr">
        <is>
          <t>EDGW 1. stůl</t>
        </is>
      </c>
      <c r="E294" t="inlineStr">
        <is>
          <t>18-06</t>
        </is>
      </c>
      <c r="F294" t="inlineStr">
        <is>
          <t>CW_43_Prefix_akrual.xlsx</t>
        </is>
      </c>
      <c r="G294" t="inlineStr">
        <is>
          <t>WEEK17</t>
        </is>
      </c>
      <c r="H294" t="n">
        <v>25</v>
      </c>
    </row>
    <row r="295">
      <c r="A295" t="inlineStr">
        <is>
          <t>G463 Prefix</t>
        </is>
      </c>
      <c r="B295" t="inlineStr">
        <is>
          <t>O</t>
        </is>
      </c>
      <c r="C295" t="inlineStr">
        <is>
          <t>Nedohon Oleksandr</t>
        </is>
      </c>
      <c r="D295" t="inlineStr">
        <is>
          <t>EDGW 1. stůl</t>
        </is>
      </c>
      <c r="E295" t="inlineStr">
        <is>
          <t>14-22</t>
        </is>
      </c>
      <c r="F295" t="inlineStr">
        <is>
          <t>CW_43_Prefix_akrual.xlsx</t>
        </is>
      </c>
      <c r="G295" t="inlineStr">
        <is>
          <t>WEEK17</t>
        </is>
      </c>
      <c r="H295" t="n">
        <v>25</v>
      </c>
    </row>
    <row r="296">
      <c r="A296" t="inlineStr">
        <is>
          <t>G463 Prefix</t>
        </is>
      </c>
      <c r="B296" t="inlineStr">
        <is>
          <t>R-B</t>
        </is>
      </c>
      <c r="C296" t="inlineStr">
        <is>
          <t>Holubenko Yuri</t>
        </is>
      </c>
      <c r="D296" t="inlineStr">
        <is>
          <t>EDGW 1. stůl</t>
        </is>
      </c>
      <c r="E296" t="inlineStr">
        <is>
          <t>06-18</t>
        </is>
      </c>
      <c r="F296" t="inlineStr">
        <is>
          <t>CW_43_Prefix_akrual.xlsx</t>
        </is>
      </c>
      <c r="G296" t="inlineStr">
        <is>
          <t>WEEK17</t>
        </is>
      </c>
      <c r="H296" t="n">
        <v>25</v>
      </c>
    </row>
    <row r="297">
      <c r="A297" t="inlineStr">
        <is>
          <t>G463 Prefix</t>
        </is>
      </c>
      <c r="B297" t="inlineStr">
        <is>
          <t>R-A</t>
        </is>
      </c>
      <c r="C297" t="inlineStr">
        <is>
          <t>Shymanska Svitlana</t>
        </is>
      </c>
      <c r="D297" t="inlineStr">
        <is>
          <t>EDGW 2. stůl</t>
        </is>
      </c>
      <c r="E297" t="inlineStr">
        <is>
          <t>06-18</t>
        </is>
      </c>
      <c r="F297" t="inlineStr">
        <is>
          <t>CW_43_Prefix_akrual.xlsx</t>
        </is>
      </c>
      <c r="G297" t="inlineStr">
        <is>
          <t>WEEK17</t>
        </is>
      </c>
      <c r="H297" t="n">
        <v>26</v>
      </c>
    </row>
    <row r="298">
      <c r="A298" t="inlineStr">
        <is>
          <t>G463 Prefix</t>
        </is>
      </c>
      <c r="B298" t="inlineStr">
        <is>
          <t>N</t>
        </is>
      </c>
      <c r="C298" t="inlineStr">
        <is>
          <t>Baicu Marian Dragos</t>
        </is>
      </c>
      <c r="D298" t="inlineStr">
        <is>
          <t>EDGW 2. stůl</t>
        </is>
      </c>
      <c r="E298" t="inlineStr">
        <is>
          <t>18-06</t>
        </is>
      </c>
      <c r="F298" t="inlineStr">
        <is>
          <t>CW_43_Prefix_akrual.xlsx</t>
        </is>
      </c>
      <c r="G298" t="inlineStr">
        <is>
          <t>WEEK17</t>
        </is>
      </c>
      <c r="H298" t="n">
        <v>26</v>
      </c>
    </row>
    <row r="299">
      <c r="A299" t="inlineStr">
        <is>
          <t>G463 Prefix</t>
        </is>
      </c>
      <c r="B299" t="inlineStr">
        <is>
          <t>O</t>
        </is>
      </c>
      <c r="C299" t="inlineStr">
        <is>
          <t>Szalka Silvia</t>
        </is>
      </c>
      <c r="D299" t="inlineStr">
        <is>
          <t>EDGW 2. stůl</t>
        </is>
      </c>
      <c r="E299" t="inlineStr">
        <is>
          <t>14-22</t>
        </is>
      </c>
      <c r="F299" t="inlineStr">
        <is>
          <t>CW_43_Prefix_akrual.xlsx</t>
        </is>
      </c>
      <c r="G299" t="inlineStr">
        <is>
          <t>WEEK17</t>
        </is>
      </c>
      <c r="H299" t="n">
        <v>26</v>
      </c>
    </row>
    <row r="300">
      <c r="A300" t="inlineStr">
        <is>
          <t>G463 Prefix</t>
        </is>
      </c>
      <c r="B300" t="inlineStr">
        <is>
          <t>R-B</t>
        </is>
      </c>
      <c r="C300" t="inlineStr">
        <is>
          <t>Giri Anisha</t>
        </is>
      </c>
      <c r="D300" t="inlineStr">
        <is>
          <t>EDGW 2. stůl</t>
        </is>
      </c>
      <c r="E300" t="inlineStr">
        <is>
          <t>06-18</t>
        </is>
      </c>
      <c r="F300" t="inlineStr">
        <is>
          <t>CW_43_Prefix_akrual.xlsx</t>
        </is>
      </c>
      <c r="G300" t="inlineStr">
        <is>
          <t>WEEK17</t>
        </is>
      </c>
      <c r="H300" t="n">
        <v>26</v>
      </c>
    </row>
    <row r="301">
      <c r="A301" t="inlineStr">
        <is>
          <t>G463 Prefix</t>
        </is>
      </c>
      <c r="B301" t="inlineStr">
        <is>
          <t>R-A</t>
        </is>
      </c>
      <c r="C301" t="inlineStr">
        <is>
          <t>Dashchenko Serhii</t>
        </is>
      </c>
      <c r="D301" t="inlineStr">
        <is>
          <t>EDGW 3. stůl</t>
        </is>
      </c>
      <c r="E301" t="inlineStr">
        <is>
          <t>06-18</t>
        </is>
      </c>
      <c r="F301" t="inlineStr">
        <is>
          <t>CW_43_Prefix_akrual.xlsx</t>
        </is>
      </c>
      <c r="G301" t="inlineStr">
        <is>
          <t>WEEK17</t>
        </is>
      </c>
      <c r="H301" t="n">
        <v>27</v>
      </c>
    </row>
    <row r="302">
      <c r="A302" t="inlineStr">
        <is>
          <t>G463 Prefix</t>
        </is>
      </c>
      <c r="B302" t="inlineStr">
        <is>
          <t>R-A</t>
        </is>
      </c>
      <c r="C302" t="inlineStr">
        <is>
          <t>Filipenko Ruslan</t>
        </is>
      </c>
      <c r="D302" t="inlineStr">
        <is>
          <t>EDGW 3. stůl</t>
        </is>
      </c>
      <c r="E302" t="inlineStr">
        <is>
          <t>06-18</t>
        </is>
      </c>
      <c r="F302" t="inlineStr">
        <is>
          <t>CW_43_Prefix_akrual.xlsx</t>
        </is>
      </c>
      <c r="G302" t="inlineStr">
        <is>
          <t>WEEK17</t>
        </is>
      </c>
      <c r="H302" t="n">
        <v>27</v>
      </c>
    </row>
    <row r="303">
      <c r="A303" t="inlineStr">
        <is>
          <t>G463 Prefix</t>
        </is>
      </c>
      <c r="B303" t="inlineStr">
        <is>
          <t>N</t>
        </is>
      </c>
      <c r="C303" t="inlineStr">
        <is>
          <t>Tomashi Attila</t>
        </is>
      </c>
      <c r="D303" t="inlineStr">
        <is>
          <t>EDGW 3. stůl</t>
        </is>
      </c>
      <c r="E303" t="inlineStr">
        <is>
          <t>18-06</t>
        </is>
      </c>
      <c r="F303" t="inlineStr">
        <is>
          <t>CW_43_Prefix_akrual.xlsx</t>
        </is>
      </c>
      <c r="G303" t="inlineStr">
        <is>
          <t>WEEK17</t>
        </is>
      </c>
      <c r="H303" t="n">
        <v>27</v>
      </c>
    </row>
    <row r="304">
      <c r="A304" t="inlineStr">
        <is>
          <t>G463 Prefix</t>
        </is>
      </c>
      <c r="B304" t="inlineStr">
        <is>
          <t>O</t>
        </is>
      </c>
      <c r="C304" t="inlineStr">
        <is>
          <t>Luca Daniel Alberto</t>
        </is>
      </c>
      <c r="D304" t="inlineStr">
        <is>
          <t>EDGW 3. stůl</t>
        </is>
      </c>
      <c r="E304" t="inlineStr">
        <is>
          <t>14-22</t>
        </is>
      </c>
      <c r="F304" t="inlineStr">
        <is>
          <t>CW_43_Prefix_akrual.xlsx</t>
        </is>
      </c>
      <c r="G304" t="inlineStr">
        <is>
          <t>WEEK17</t>
        </is>
      </c>
      <c r="H304" t="n">
        <v>27</v>
      </c>
    </row>
    <row r="305">
      <c r="A305" t="inlineStr">
        <is>
          <t>G463 Prefix</t>
        </is>
      </c>
      <c r="B305" t="inlineStr">
        <is>
          <t>R-B</t>
        </is>
      </c>
      <c r="C305" t="inlineStr">
        <is>
          <t>Giri Pawan</t>
        </is>
      </c>
      <c r="D305" t="inlineStr">
        <is>
          <t>EDGW 3. stůl</t>
        </is>
      </c>
      <c r="E305" t="inlineStr">
        <is>
          <t>06-18</t>
        </is>
      </c>
      <c r="F305" t="inlineStr">
        <is>
          <t>CW_43_Prefix_akrual.xlsx</t>
        </is>
      </c>
      <c r="G305" t="inlineStr">
        <is>
          <t>WEEK17</t>
        </is>
      </c>
      <c r="H305" t="n">
        <v>27</v>
      </c>
    </row>
    <row r="306">
      <c r="A306" t="inlineStr">
        <is>
          <t>G463 Prefix</t>
        </is>
      </c>
      <c r="B306" t="inlineStr">
        <is>
          <t>R-A</t>
        </is>
      </c>
      <c r="C306" t="inlineStr">
        <is>
          <t>Szalka Joszef</t>
        </is>
      </c>
      <c r="D306" t="inlineStr">
        <is>
          <t>EDGW 4. stůl</t>
        </is>
      </c>
      <c r="E306" t="inlineStr">
        <is>
          <t>06-18</t>
        </is>
      </c>
      <c r="F306" t="inlineStr">
        <is>
          <t>CW_43_Prefix_akrual.xlsx</t>
        </is>
      </c>
      <c r="G306" t="inlineStr">
        <is>
          <t>WEEK17</t>
        </is>
      </c>
      <c r="H306" t="n">
        <v>28</v>
      </c>
    </row>
    <row r="307">
      <c r="A307" t="inlineStr">
        <is>
          <t>G463 Prefix</t>
        </is>
      </c>
      <c r="B307" t="inlineStr">
        <is>
          <t>N</t>
        </is>
      </c>
      <c r="C307" t="inlineStr">
        <is>
          <t>Mikita Istvan</t>
        </is>
      </c>
      <c r="D307" t="inlineStr">
        <is>
          <t>EDGW 4. stůl</t>
        </is>
      </c>
      <c r="E307" t="inlineStr">
        <is>
          <t>18-06</t>
        </is>
      </c>
      <c r="F307" t="inlineStr">
        <is>
          <t>CW_43_Prefix_akrual.xlsx</t>
        </is>
      </c>
      <c r="G307" t="inlineStr">
        <is>
          <t>WEEK17</t>
        </is>
      </c>
      <c r="H307" t="n">
        <v>28</v>
      </c>
    </row>
    <row r="308">
      <c r="A308" t="inlineStr">
        <is>
          <t>G463 Prefix</t>
        </is>
      </c>
      <c r="B308" t="inlineStr">
        <is>
          <t>R-B</t>
        </is>
      </c>
      <c r="C308" t="inlineStr">
        <is>
          <t>Rieznikov Bohdan</t>
        </is>
      </c>
      <c r="D308" t="inlineStr">
        <is>
          <t>EDGW 4. stůl</t>
        </is>
      </c>
      <c r="E308" t="inlineStr">
        <is>
          <t>06-18</t>
        </is>
      </c>
      <c r="F308" t="inlineStr">
        <is>
          <t>CW_43_Prefix_akrual.xlsx</t>
        </is>
      </c>
      <c r="G308" t="inlineStr">
        <is>
          <t>WEEK17</t>
        </is>
      </c>
      <c r="H308" t="n">
        <v>28</v>
      </c>
    </row>
    <row r="309">
      <c r="A309" t="inlineStr">
        <is>
          <t>G463 Prefix</t>
        </is>
      </c>
      <c r="B309" t="inlineStr">
        <is>
          <t>R-A</t>
        </is>
      </c>
      <c r="C309" t="inlineStr">
        <is>
          <t>Batka Szilvia</t>
        </is>
      </c>
      <c r="D309" t="inlineStr">
        <is>
          <t>EDGW 5. stůl</t>
        </is>
      </c>
      <c r="E309" t="inlineStr">
        <is>
          <t>06-18</t>
        </is>
      </c>
      <c r="F309" t="inlineStr">
        <is>
          <t>CW_43_Prefix_akrual.xlsx</t>
        </is>
      </c>
      <c r="G309" t="inlineStr">
        <is>
          <t>WEEK17</t>
        </is>
      </c>
      <c r="H309" t="n">
        <v>29</v>
      </c>
    </row>
    <row r="310">
      <c r="A310" t="inlineStr">
        <is>
          <t>G463 Prefix</t>
        </is>
      </c>
      <c r="B310" t="inlineStr">
        <is>
          <t>R-A</t>
        </is>
      </c>
      <c r="C310" t="inlineStr">
        <is>
          <t>Úr Tibor</t>
        </is>
      </c>
      <c r="D310" t="inlineStr">
        <is>
          <t>EDGW 5. stůl</t>
        </is>
      </c>
      <c r="E310" t="inlineStr">
        <is>
          <t>06-18</t>
        </is>
      </c>
      <c r="F310" t="inlineStr">
        <is>
          <t>CW_43_Prefix_akrual.xlsx</t>
        </is>
      </c>
      <c r="G310" t="inlineStr">
        <is>
          <t>WEEK17</t>
        </is>
      </c>
      <c r="H310" t="n">
        <v>29</v>
      </c>
    </row>
    <row r="311">
      <c r="A311" t="inlineStr">
        <is>
          <t>G463 Prefix</t>
        </is>
      </c>
      <c r="B311" t="inlineStr">
        <is>
          <t>N</t>
        </is>
      </c>
      <c r="C311" t="inlineStr">
        <is>
          <t>Fekete Milan</t>
        </is>
      </c>
      <c r="D311" t="inlineStr">
        <is>
          <t>EDGW 5. stůl</t>
        </is>
      </c>
      <c r="E311" t="inlineStr">
        <is>
          <t>18-06</t>
        </is>
      </c>
      <c r="F311" t="inlineStr">
        <is>
          <t>CW_43_Prefix_akrual.xlsx</t>
        </is>
      </c>
      <c r="G311" t="inlineStr">
        <is>
          <t>WEEK17</t>
        </is>
      </c>
      <c r="H311" t="n">
        <v>29</v>
      </c>
    </row>
    <row r="312">
      <c r="A312" t="inlineStr">
        <is>
          <t>G463 Prefix</t>
        </is>
      </c>
      <c r="B312" t="inlineStr">
        <is>
          <t>R-B</t>
        </is>
      </c>
      <c r="C312" t="inlineStr">
        <is>
          <t>Kushnarenko Mykyta</t>
        </is>
      </c>
      <c r="D312" t="inlineStr">
        <is>
          <t>EDGW 5. stůl</t>
        </is>
      </c>
      <c r="E312" t="inlineStr">
        <is>
          <t>06-18</t>
        </is>
      </c>
      <c r="F312" t="inlineStr">
        <is>
          <t>CW_43_Prefix_akrual.xlsx</t>
        </is>
      </c>
      <c r="G312" t="inlineStr">
        <is>
          <t>WEEK17</t>
        </is>
      </c>
      <c r="H312" t="n">
        <v>29</v>
      </c>
    </row>
    <row r="313">
      <c r="A313" t="inlineStr">
        <is>
          <t>G463 Prefix</t>
        </is>
      </c>
      <c r="B313" t="inlineStr">
        <is>
          <t>R-A</t>
        </is>
      </c>
      <c r="C313" t="inlineStr">
        <is>
          <t>Klek Olha</t>
        </is>
      </c>
      <c r="D313" t="inlineStr">
        <is>
          <t>Balení  Balení</t>
        </is>
      </c>
      <c r="E313" t="inlineStr">
        <is>
          <t>06-18</t>
        </is>
      </c>
      <c r="F313" t="inlineStr">
        <is>
          <t>CW_43_Prefix_akrual.xlsx</t>
        </is>
      </c>
      <c r="G313" t="inlineStr">
        <is>
          <t>WEEK17</t>
        </is>
      </c>
      <c r="H313" t="n">
        <v>35</v>
      </c>
    </row>
    <row r="314">
      <c r="A314" t="inlineStr">
        <is>
          <t>G463 Prefix</t>
        </is>
      </c>
      <c r="B314" t="inlineStr">
        <is>
          <t>N</t>
        </is>
      </c>
      <c r="C314" t="inlineStr">
        <is>
          <t>Fedei Ionut Luciian</t>
        </is>
      </c>
      <c r="D314" t="inlineStr">
        <is>
          <t>Balení  Balení</t>
        </is>
      </c>
      <c r="E314" t="inlineStr">
        <is>
          <t>18-06</t>
        </is>
      </c>
      <c r="F314" t="inlineStr">
        <is>
          <t>CW_43_Prefix_akrual.xlsx</t>
        </is>
      </c>
      <c r="G314" t="inlineStr">
        <is>
          <t>WEEK17</t>
        </is>
      </c>
      <c r="H314" t="n">
        <v>35</v>
      </c>
    </row>
    <row r="315">
      <c r="A315" t="inlineStr">
        <is>
          <t>G463 Prefix</t>
        </is>
      </c>
      <c r="B315" t="inlineStr">
        <is>
          <t>O</t>
        </is>
      </c>
      <c r="C315" t="inlineStr">
        <is>
          <t>Shyrshova Mariia</t>
        </is>
      </c>
      <c r="D315" t="inlineStr">
        <is>
          <t>Balení  Balení</t>
        </is>
      </c>
      <c r="E315" t="inlineStr">
        <is>
          <t>14-22</t>
        </is>
      </c>
      <c r="F315" t="inlineStr">
        <is>
          <t>CW_43_Prefix_akrual.xlsx</t>
        </is>
      </c>
      <c r="G315" t="inlineStr">
        <is>
          <t>WEEK17</t>
        </is>
      </c>
      <c r="H315" t="n">
        <v>35</v>
      </c>
    </row>
  </sheetData>
  <autoFilter ref="A1:H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2026-10-20T05:55:48Z</dcterms:created>
  <dcterms:modified xmlns:dcterms="http://purl.org/dc/terms/" xmlns:xsi="http://www.w3.org/2001/XMLSchema-instance" xsi:type="dcterms:W3CDTF">2026-10-20T06:37:19Z</dcterms:modified>
</cp:coreProperties>
</file>